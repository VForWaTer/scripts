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3.xml" ContentType="application/vnd.openxmlformats-officedocument.drawing+xml"/>
  <Override PartName="/xl/ctrlProps/ctrlProp18.xml" ContentType="application/vnd.ms-excel.controlproperties+xml"/>
  <Override PartName="/xl/drawings/drawing4.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0" windowWidth="28800" windowHeight="14235" tabRatio="815" activeTab="3"/>
  </bookViews>
  <sheets>
    <sheet name="Startseite" sheetId="10" r:id="rId1"/>
    <sheet name="Messstelleninformationen" sheetId="4" r:id="rId2"/>
    <sheet name="Messstellenkonfiguration" sheetId="5" r:id="rId3"/>
    <sheet name="Loggerdatei" sheetId="2" r:id="rId4"/>
    <sheet name="Sensoren" sheetId="3" r:id="rId5"/>
    <sheet name="Messwerttyp" sheetId="6" r:id="rId6"/>
    <sheet name="physikalische Eigenschaft" sheetId="7" r:id="rId7"/>
    <sheet name="Medium" sheetId="8" r:id="rId8"/>
    <sheet name="Einheit" sheetId="11" r:id="rId9"/>
  </sheets>
  <definedNames>
    <definedName name="_xlnm.Print_Area" localSheetId="1">Messstelleninformationen!$A$1:$D$37</definedName>
  </definedNames>
  <calcPr calcId="152511"/>
</workbook>
</file>

<file path=xl/calcChain.xml><?xml version="1.0" encoding="utf-8"?>
<calcChain xmlns="http://schemas.openxmlformats.org/spreadsheetml/2006/main">
  <c r="F17" i="5" l="1"/>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16" i="5"/>
  <c r="G19" i="4"/>
  <c r="G18" i="4"/>
  <c r="G27" i="4"/>
  <c r="G26" i="4"/>
  <c r="G14" i="4"/>
  <c r="G15" i="4"/>
  <c r="G16" i="4"/>
  <c r="G17" i="4"/>
  <c r="G20" i="4"/>
  <c r="G21" i="4"/>
  <c r="G22" i="4"/>
  <c r="G23" i="4"/>
  <c r="G24" i="4"/>
  <c r="G25" i="4"/>
  <c r="F14" i="5"/>
  <c r="F15" i="5"/>
  <c r="F13" i="5"/>
  <c r="G29" i="4" l="1"/>
  <c r="B1" i="4" s="1"/>
</calcChain>
</file>

<file path=xl/sharedStrings.xml><?xml version="1.0" encoding="utf-8"?>
<sst xmlns="http://schemas.openxmlformats.org/spreadsheetml/2006/main" count="1439" uniqueCount="1172">
  <si>
    <t>Name</t>
  </si>
  <si>
    <t>mm</t>
  </si>
  <si>
    <t>WindDirection</t>
  </si>
  <si>
    <t>deg</t>
  </si>
  <si>
    <t>pressure</t>
  </si>
  <si>
    <t>Version</t>
  </si>
  <si>
    <t>Link</t>
  </si>
  <si>
    <t>Vaisala</t>
  </si>
  <si>
    <t>WXT520</t>
  </si>
  <si>
    <t>AAA0BA00B0</t>
  </si>
  <si>
    <t>Weather Transmitter</t>
  </si>
  <si>
    <t>Email</t>
  </si>
  <si>
    <t>Y</t>
  </si>
  <si>
    <t>Air Pressure</t>
  </si>
  <si>
    <t>code</t>
  </si>
  <si>
    <t>Campbell Scientific</t>
  </si>
  <si>
    <t>Temperature Probes</t>
  </si>
  <si>
    <t>Präzisions-Thermistor in einem wasserdichten Gehäuse aus rostfreiem Stahl</t>
  </si>
  <si>
    <t>#http://www.campbellsci.co.uk#</t>
  </si>
  <si>
    <t>5TE FTDR/thermometer</t>
  </si>
  <si>
    <t>Decagon Device</t>
  </si>
  <si>
    <t>Bodenfeuchte,Temperatur,Elektrische Leitfähigkeit</t>
  </si>
  <si>
    <t>5TE</t>
  </si>
  <si>
    <t>R2-03</t>
  </si>
  <si>
    <t>The 5TE lets you monitor bulk electrical conductivity (EC), in addition to volumetric water content (VWC) and soil temperature.</t>
  </si>
  <si>
    <t>#http://www.decagon.com/products/sensors/soil-moisture-sensors/5te-soil-moisture-temperature-and-ec/#</t>
  </si>
  <si>
    <t>CMP3 pyranometer</t>
  </si>
  <si>
    <t>Kipp &amp; Zonen, Delft, Netherlands</t>
  </si>
  <si>
    <t>Pyranometer</t>
  </si>
  <si>
    <t>CMP 3</t>
  </si>
  <si>
    <t>The CMP3 pyranometer is an instrument for measuring the solar irradiance. The theropile construction measures the solar energy that is received from the total solar spectrum from the whole hemisphere. The output is expressed in Watts per square meter</t>
  </si>
  <si>
    <t>CR3000 logger unit</t>
  </si>
  <si>
    <t>Logger</t>
  </si>
  <si>
    <t>CR 3000</t>
  </si>
  <si>
    <t>http://www.campbellsci.com/cr3000#http://www.campbellsci.co.uk/#</t>
  </si>
  <si>
    <t>CRS1000 neutron counter</t>
  </si>
  <si>
    <t>Quaesta Instruments LLC</t>
  </si>
  <si>
    <t>Cosmic Ray data logger</t>
  </si>
  <si>
    <t>CRS 1000 Telemetry</t>
  </si>
  <si>
    <t>QDL2100 FW Version 1.460</t>
  </si>
  <si>
    <t>CS100 barometer</t>
  </si>
  <si>
    <t>Barometric Pressure Sensor</t>
  </si>
  <si>
    <t>CS 100</t>
  </si>
  <si>
    <t>Drucksensor EC-System</t>
  </si>
  <si>
    <t>CS616 TDR</t>
  </si>
  <si>
    <t>Water Content Reflectometer</t>
  </si>
  <si>
    <t>CS 616</t>
  </si>
  <si>
    <t>CS616 is designed to measure volumetric water content of soils or other porous media. The water content information is derived from the probe sensitivity to the dielectric constant of the medium surrounding the probe rods.</t>
  </si>
  <si>
    <t>CSAT3 Sonic Aemometer</t>
  </si>
  <si>
    <t>CSAT 3</t>
  </si>
  <si>
    <t>Three dimensional sonic anemometer</t>
  </si>
  <si>
    <t>#http://www.campbellsci.com/csat3#</t>
  </si>
  <si>
    <t>Dynament CO2 sensor</t>
  </si>
  <si>
    <t>Dynament</t>
  </si>
  <si>
    <t>CO2 sensor</t>
  </si>
  <si>
    <t>MSH-P-CO2/NC</t>
  </si>
  <si>
    <t>EC-5 FTDR</t>
  </si>
  <si>
    <t>Soil Moisture</t>
  </si>
  <si>
    <t>EC5</t>
  </si>
  <si>
    <t>R1-09</t>
  </si>
  <si>
    <t>a sensor that accurately measures water content in any soil or soilless media with minimal salinity and textural effects</t>
  </si>
  <si>
    <t>#http://www.decagon.com/products/sensors/soil-moisture-sensors/ec-5-soil-moisture-small-area-of-influence/#</t>
  </si>
  <si>
    <t>EcoTech ATM/N pressure meter</t>
  </si>
  <si>
    <t>EcoTech</t>
  </si>
  <si>
    <t>water level gauge</t>
  </si>
  <si>
    <t>ATM/N</t>
  </si>
  <si>
    <t>http://www.ecotech.bonn.de#http://www.ecotech.bonn.de/#</t>
  </si>
  <si>
    <t>Ecotech manometer</t>
  </si>
  <si>
    <t>-</t>
  </si>
  <si>
    <t>-#http://-#</t>
  </si>
  <si>
    <t>Ecotech ombrometer m</t>
  </si>
  <si>
    <t>Ecotech</t>
  </si>
  <si>
    <t>Ombrometer / tipping bucket</t>
  </si>
  <si>
    <t>metallic bucket</t>
  </si>
  <si>
    <t>resolution 0.1 mm</t>
  </si>
  <si>
    <t>preciptiaon flows into a spoon, which tips at a dfefined wieght. The overturning of the spoon corresonds to a defined anount of precipitati
on</t>
  </si>
  <si>
    <t>Ecotech ombrometer mh</t>
  </si>
  <si>
    <t>metallic bucket with heating</t>
  </si>
  <si>
    <t>Ecotech ombrometer p</t>
  </si>
  <si>
    <t>little plastic bucket</t>
  </si>
  <si>
    <t>resolution 0.2 mm</t>
  </si>
  <si>
    <t>precipitation flows into a spoon, which tips at a dfefined wieght. The overturning of the spoon corresonds to a defined anount of precipitati
on</t>
  </si>
  <si>
    <t>Eigenbrodt Tipping bucket</t>
  </si>
  <si>
    <t>Eigenbrodt</t>
  </si>
  <si>
    <t>tipping bucket ombrometer</t>
  </si>
  <si>
    <t>NSA 181KS</t>
  </si>
  <si>
    <t>Kippwaage löst je nach Niederschlagsintensität bei ungefähr 2.54 ml Wasservolumen einen Kippimpuls aus, der als fortlaufende Nummer gezählt wird</t>
  </si>
  <si>
    <t>#http://www.eigenbrodt.de#</t>
  </si>
  <si>
    <t>Eko MF-81 heat flux meter</t>
  </si>
  <si>
    <t>Eko?</t>
  </si>
  <si>
    <t>heat flux plate</t>
  </si>
  <si>
    <t>MF-81</t>
  </si>
  <si>
    <t>measures temperature difference between the upper lower side of a plate</t>
  </si>
  <si>
    <t>Envilog logger unit</t>
  </si>
  <si>
    <t>Main logger unit</t>
  </si>
  <si>
    <t>Envilog Maxi</t>
  </si>
  <si>
    <t>Data logger with radio transmission, GPRS and GSM</t>
  </si>
  <si>
    <t>#http://www.ecotech.bonn.de#</t>
  </si>
  <si>
    <t>Friedrichs 2010 thermometer</t>
  </si>
  <si>
    <t>Friedrichs &amp; Co.</t>
  </si>
  <si>
    <t>Thermometer</t>
  </si>
  <si>
    <t>electrically ventilated thermometer using PT100 sensors</t>
  </si>
  <si>
    <t>Friedrichs 3112 hygrometer</t>
  </si>
  <si>
    <t>Hygrometer</t>
  </si>
  <si>
    <t>Measures relative humidity  using a hair hygrometer</t>
  </si>
  <si>
    <t>Friedrichs 4021 wind speed</t>
  </si>
  <si>
    <t>Wind speed</t>
  </si>
  <si>
    <t>shell anemometer connected to a dc-generator</t>
  </si>
  <si>
    <t>Friedrichs 4121 wind direction</t>
  </si>
  <si>
    <t>Wind direction</t>
  </si>
  <si>
    <t>wind vane connected to a ring potentiometer</t>
  </si>
  <si>
    <t>Friedrichs 6020 pyranometer</t>
  </si>
  <si>
    <t>Measures temepratrue difference between upper and lower detector side</t>
  </si>
  <si>
    <t>FZJ SoilNet box main unit 1.0</t>
  </si>
  <si>
    <t>Research Centre Juelich</t>
  </si>
  <si>
    <t>5*5TE, 4*EC5, 2*SMT160</t>
  </si>
  <si>
    <t>Soil moisture wirless sensor network</t>
  </si>
  <si>
    <t>FZJ SoilNet box main unit 2.0/2.1</t>
  </si>
  <si>
    <t>6 * SPADE</t>
  </si>
  <si>
    <t>2.0 (Box 1-102), 2.1 (Box 103-204)</t>
  </si>
  <si>
    <t>FZJ SoilNet router 1.0</t>
  </si>
  <si>
    <t>2*SMT160</t>
  </si>
  <si>
    <t>Soil moisture wirless sensor network router</t>
  </si>
  <si>
    <t>FZJ SoilNet router 2.0</t>
  </si>
  <si>
    <t>Gill WindSonic 2D anemometer</t>
  </si>
  <si>
    <t>Gill</t>
  </si>
  <si>
    <t>Two Dimensional Sonic Anemometer</t>
  </si>
  <si>
    <t>2D-USAT</t>
  </si>
  <si>
    <t>The WindSonic is an ultrasonic anemometer for measuring wind direction and wind speed. It uses two pairs of orthogonally oriented transducers to sense the horizontal wind.</t>
  </si>
  <si>
    <t>#http://www.campbellsci.co.uk/#</t>
  </si>
  <si>
    <t>HMP45C Climate Multigauge</t>
  </si>
  <si>
    <t>Temperature and Relative Humidity Probe</t>
  </si>
  <si>
    <t>HMP 45C</t>
  </si>
  <si>
    <t>temperature and relative humidity probe</t>
  </si>
  <si>
    <t>http://Vaisala.com#http://vaisala.com/#</t>
  </si>
  <si>
    <t>Hukseflux HFP01 heat flux</t>
  </si>
  <si>
    <t>Hukseflux</t>
  </si>
  <si>
    <t>Heat flux plate</t>
  </si>
  <si>
    <t>HFP 01</t>
  </si>
  <si>
    <t>HFP01 serves to measure the heat that flows through the object in which it is incorporated or on which it is mounted. The actual sensor in HFP01 is a thermopile.</t>
  </si>
  <si>
    <t>#http://www.hukseflux.com#</t>
  </si>
  <si>
    <t>Hukseflux NR01 pyranometer</t>
  </si>
  <si>
    <t>Radiation Sensor</t>
  </si>
  <si>
    <t>NR 01</t>
  </si>
  <si>
    <t>4-component net radiometer for separate measurements of solar and infrared radiation</t>
  </si>
  <si>
    <t>HydraProbe TDR/Thermometer</t>
  </si>
  <si>
    <t>stevenswaters.de</t>
  </si>
  <si>
    <t>TDR</t>
  </si>
  <si>
    <t>Hydraprobe II-SDI 12</t>
  </si>
  <si>
    <t>determination of conductive properties of soils (temperature, moisture, cinductivity) using high frequency measurements</t>
  </si>
  <si>
    <t>stevenswater.com#http://stevenswater.com#</t>
  </si>
  <si>
    <t>IR120 radiometer</t>
  </si>
  <si>
    <t>Infra-red Remote Temperature Sensor</t>
  </si>
  <si>
    <t>IR 120</t>
  </si>
  <si>
    <t>"The IR100/IR120 is an infrared temperature sensor. It offers a non-contact means of
measuring the surface temperature of an object by sensing the infrared radiation
given off."</t>
  </si>
  <si>
    <t>Lambrecht hair hygrometer</t>
  </si>
  <si>
    <t>Lambrecht</t>
  </si>
  <si>
    <t>Haarharfe potentiometrischer Geber</t>
  </si>
  <si>
    <t>00.08000.201010</t>
  </si>
  <si>
    <t>LiCor 190 radiometer</t>
  </si>
  <si>
    <t>LI-COR Inc., Lincoln, NE, USA</t>
  </si>
  <si>
    <t>photosynthetic active radiation</t>
  </si>
  <si>
    <t>LI-190</t>
  </si>
  <si>
    <t>quantum sensor which measuzres PAK (400-700 nm) using a silicon pohto diode and glass filters</t>
  </si>
  <si>
    <t>LiCor 7500</t>
  </si>
  <si>
    <t>gas analyzer</t>
  </si>
  <si>
    <t>LI-7500</t>
  </si>
  <si>
    <t>high speed high precision open path CO2 and H2O gas analyzer</t>
  </si>
  <si>
    <t>Liquiport autosampler</t>
  </si>
  <si>
    <t>Edress and Hauser</t>
  </si>
  <si>
    <t>24 bottles</t>
  </si>
  <si>
    <t>Liquipart 2000 RPT 20</t>
  </si>
  <si>
    <t>autosampler for automatic sample collection</t>
  </si>
  <si>
    <t>#http://www.de.endress.com/#</t>
  </si>
  <si>
    <t>Liquistation autosampler</t>
  </si>
  <si>
    <t>Liquistation CSF 48</t>
  </si>
  <si>
    <t>LISA wind speed sensor</t>
  </si>
  <si>
    <t>Siggelkow</t>
  </si>
  <si>
    <t>wind speed Schalenstern-Anemometer</t>
  </si>
  <si>
    <t>NR-LITE net radiometer</t>
  </si>
  <si>
    <t>net radiometer</t>
  </si>
  <si>
    <t>NR-LITE</t>
  </si>
  <si>
    <t>www.kippzonen.com#http://www.kippzonen.com#</t>
  </si>
  <si>
    <t>Ombrometer</t>
  </si>
  <si>
    <t>unknown</t>
  </si>
  <si>
    <t>Ombrometer (general)</t>
  </si>
  <si>
    <t>Ott Ombrometer</t>
  </si>
  <si>
    <t>Ott</t>
  </si>
  <si>
    <t>200 RH</t>
  </si>
  <si>
    <t>Precipitation</t>
  </si>
  <si>
    <t>PT1000 thermometer</t>
  </si>
  <si>
    <t>Temperature Probe</t>
  </si>
  <si>
    <t>PT 1000</t>
  </si>
  <si>
    <t>Temperatursensor in 43502 Aspirated Radiation Shield</t>
  </si>
  <si>
    <t>PT100 thermometer</t>
  </si>
  <si>
    <t>1/3 DIN in 4-Leiterschaltung</t>
  </si>
  <si>
    <t>PT 100</t>
  </si>
  <si>
    <t>RITA wind direction sensor</t>
  </si>
  <si>
    <t>wind direction sonsor with analogue output</t>
  </si>
  <si>
    <t>RMYoung52203 ombrometer</t>
  </si>
  <si>
    <t>R.M. Young Company, Traverse City, USA</t>
  </si>
  <si>
    <t>Rain sensor</t>
  </si>
  <si>
    <t>heated</t>
  </si>
  <si>
    <t>tipping bucket mechanism for simple and effective rainfall measurement. The bucket geometry and material are specially selected for maximum water release, thereby reducing contamination and errors. Catchment area of 200 cm2 and measurement resolution of 0.1 mm meet the recommendations of the WMO. Measured precipitation is discharged through a collection tube for verification of total rainfall.</t>
  </si>
  <si>
    <t>#http://youngusa.com#</t>
  </si>
  <si>
    <t>Schenk 8111 net radiometer</t>
  </si>
  <si>
    <t>Philipp Schenk, Wien</t>
  </si>
  <si>
    <t>netradiometer</t>
  </si>
  <si>
    <t>measurement of the temperature difference between blackened receiver plates facing up and blackened receiver plates facing down by means of thermocouple elements</t>
  </si>
  <si>
    <t>#http://www.schenk.co.at/#</t>
  </si>
  <si>
    <t>Skye SKP 215 PAR sensor</t>
  </si>
  <si>
    <t>Skype Instruments Ltd.m Powys, UK</t>
  </si>
  <si>
    <t>phtosynthetically active radiation</t>
  </si>
  <si>
    <t>SKP215</t>
  </si>
  <si>
    <t>measure photon irradiance, or quantity of PAR light</t>
  </si>
  <si>
    <t>#http://www.skyeinstruments.com/wp-content/uploads/PAR-Quantum.pdf#</t>
  </si>
  <si>
    <t>Spade 3.04</t>
  </si>
  <si>
    <t>sceme.de</t>
  </si>
  <si>
    <t>Bodenfeuchte und Temperatur</t>
  </si>
  <si>
    <t>SPADE</t>
  </si>
  <si>
    <t>Der SPADE Sensor wird mit 5V gespeist. Er gibt die gemessenen Größen jeweils als analoge Spannung aus (0-2.3V)</t>
  </si>
  <si>
    <t>Bodenfeuchte  Temperatur#http://Bodenfeuchte  Temperatur#</t>
  </si>
  <si>
    <t>SP-LITE global radiation</t>
  </si>
  <si>
    <t>global radiation sensor</t>
  </si>
  <si>
    <t>SP-LITE</t>
  </si>
  <si>
    <t>pyranometer that measures incoming global solar radiation using a silicon photovoltaic detector</t>
  </si>
  <si>
    <t>www.kippzonen.com#http://www.kippzonen.com/#</t>
  </si>
  <si>
    <t>SR50A</t>
  </si>
  <si>
    <t>Sonic Ranging Sensor</t>
  </si>
  <si>
    <t>SR 50A</t>
  </si>
  <si>
    <t>The SR50A Sonic Ranging Sensor measures the distance from the sensor to a target. The most common applications are measuring snow depths and water levels. The sensor is based on a 50 kHz (Ultrasonic) electrostatic transducer.</t>
  </si>
  <si>
    <t>#http://www.campbellsci.com#</t>
  </si>
  <si>
    <t>STM160 Thermometer</t>
  </si>
  <si>
    <t>Smartec</t>
  </si>
  <si>
    <t>Temperatur</t>
  </si>
  <si>
    <t>STM160-30-TO18</t>
  </si>
  <si>
    <t>The Smartec temperature sensor is a sophisticated full silicon temperature sensor with a digital output.</t>
  </si>
  <si>
    <t>Smartec-sensors.com#http://Smartec-sensors.com#</t>
  </si>
  <si>
    <t>STS water level gauge</t>
  </si>
  <si>
    <t>STS.Sensoren</t>
  </si>
  <si>
    <t>321.9955.1505.14.4</t>
  </si>
  <si>
    <t>PTM/N</t>
  </si>
  <si>
    <t>hydrostatic pressure sensor detects water level from hydrostatic pressure</t>
  </si>
  <si>
    <t>#http://www.stssensoren.de/pegelsonden/#</t>
  </si>
  <si>
    <t>TCAV thermometer</t>
  </si>
  <si>
    <t>TCAV</t>
  </si>
  <si>
    <t>Averaging thermocouple for soil temperature measurements</t>
  </si>
  <si>
    <t>http://www.campbellsci.com/tcav#http://www.campbellsci.com/tvav#</t>
  </si>
  <si>
    <t>ThiesClima Rain Gauge</t>
  </si>
  <si>
    <t>Thies Clima</t>
  </si>
  <si>
    <t>Tipping bucket</t>
  </si>
  <si>
    <t>5.4032.35.008</t>
  </si>
  <si>
    <t>with heating</t>
  </si>
  <si>
    <t>measurement of the height, quantity and the intensity of the precipitation striking the surface of the earth. The measuring principle is basing on the description "Guide to Meteorological Instruments No 8" of the WMO (World Meteorological Organization). The precipitation, collected by the collecting surface of 200 cm², is conducted through inflow sieve into a tipping-bucket. After having collected the precipitation amount of 2 cm³ = 0,1 mm of precipitation the bucket tips over. This tipping procedure is detected by a Reed-switch, and induces an output pulse for 0,1 mm of precipitation in combination with connected electronics. As the number of tipping procedures is not linear on the precipitation intensity, an intensity-dependent linearization is carried out in the connected electronics. The linearization procedure is basing on a precipitation-intensity-dependent pulse-number-correction for the precipitation intensity range of approx. 0,5…7 mm/min.</t>
  </si>
  <si>
    <t>#http://www.thiesclima.com/precipitation-transmitter.html#</t>
  </si>
  <si>
    <t>TriOS ProPS UV spectrometer</t>
  </si>
  <si>
    <t>TriOS</t>
  </si>
  <si>
    <t>UV Spectrometer</t>
  </si>
  <si>
    <t>TriOS ProPS</t>
  </si>
  <si>
    <t>The UV spectrometer measures N-NO3, SAC254, SAC360 and DOC</t>
  </si>
  <si>
    <t>#http://www.trios.de#</t>
  </si>
  <si>
    <t>UMS AST3p Scale</t>
  </si>
  <si>
    <t>UMS</t>
  </si>
  <si>
    <t>scale</t>
  </si>
  <si>
    <t>AST3p</t>
  </si>
  <si>
    <t>UMS Datataker</t>
  </si>
  <si>
    <t>UMS lp-net07 radiometer</t>
  </si>
  <si>
    <t>net radiation</t>
  </si>
  <si>
    <t>lp-net07</t>
  </si>
  <si>
    <t>Ums MPS Tensiometer</t>
  </si>
  <si>
    <t>UMS pump controller</t>
  </si>
  <si>
    <t>UMS SIS Tensiometer</t>
  </si>
  <si>
    <t>Tension, matrix potential</t>
  </si>
  <si>
    <t>SIS (mart Irrigation Sensor)</t>
  </si>
  <si>
    <t>UMS TDR</t>
  </si>
  <si>
    <t>soil moisture, soil temperature</t>
  </si>
  <si>
    <t>UMS TS1 Tensiometer</t>
  </si>
  <si>
    <t>Tensiometer</t>
  </si>
  <si>
    <t>TS1</t>
  </si>
  <si>
    <t>UMS Vacuum pump</t>
  </si>
  <si>
    <t>unknown air temperature sensor</t>
  </si>
  <si>
    <t>Unknown ElectricalConductivity Sensor</t>
  </si>
  <si>
    <t>unknown global radiation sensor</t>
  </si>
  <si>
    <t>Unknown pH Sesnor</t>
  </si>
  <si>
    <t>Unknown RedoxPotential Sensor</t>
  </si>
  <si>
    <t>UnknownSensor</t>
  </si>
  <si>
    <t>Unknown Water Temperature Sensor</t>
  </si>
  <si>
    <t>unknown wind direction  sensor</t>
  </si>
  <si>
    <t>unknown wind speed  sensor</t>
  </si>
  <si>
    <t>Water Level Sensor</t>
  </si>
  <si>
    <t>Water Level</t>
  </si>
  <si>
    <t>Water Level Gauge from unknown manufacturer</t>
  </si>
  <si>
    <t>Water quality sample evaluation</t>
  </si>
  <si>
    <t>WXT520 Climate Multigauge</t>
  </si>
  <si>
    <t>Der Vaisala Wettertransmitter WXT520 misst neben Windgeschwindigkeit und -richtung, Luftdruck, rel. Feuchte und Temperatur auch flüssigen Niederschlag.</t>
  </si>
  <si>
    <t>#http://Vaisala.com#</t>
  </si>
  <si>
    <t>YSI 6136 turbitity sensor</t>
  </si>
  <si>
    <t>YSI incorporated</t>
  </si>
  <si>
    <t>turbidity</t>
  </si>
  <si>
    <t>YSI 6136</t>
  </si>
  <si>
    <t>probe to measure electrical conducitivty, temperature, pH, nitrate, chloride and oxygen concentration of water</t>
  </si>
  <si>
    <t>ysi.com#http://ysi.com#</t>
  </si>
  <si>
    <t>YSI 6560 conductivity and temperature sensor</t>
  </si>
  <si>
    <t>electrical conductivity</t>
  </si>
  <si>
    <t>YSI 6560</t>
  </si>
  <si>
    <t>YSI 6561 pH, redox potential sensor</t>
  </si>
  <si>
    <t>YSI 6561</t>
  </si>
  <si>
    <t>YSI 6562 ogygen sensor</t>
  </si>
  <si>
    <t>oxygen</t>
  </si>
  <si>
    <t>YSI 6562</t>
  </si>
  <si>
    <t>YSI 6882 chloride sensor</t>
  </si>
  <si>
    <t>chloride</t>
  </si>
  <si>
    <t>YSI 6882</t>
  </si>
  <si>
    <t>YSI 6884 nitrate sensor</t>
  </si>
  <si>
    <t>nitrate</t>
  </si>
  <si>
    <t>YSI 6884</t>
  </si>
  <si>
    <t>ID</t>
  </si>
  <si>
    <t>sensor 1, 2, ...</t>
  </si>
  <si>
    <t>d</t>
  </si>
  <si>
    <t>Cum</t>
  </si>
  <si>
    <t>Cumulated</t>
  </si>
  <si>
    <t>The values represent the cumulative value of a variable measured or calculated up to a given instant of time, such as cumulative volume of flow or cumulative precipitation.</t>
  </si>
  <si>
    <t>Const</t>
  </si>
  <si>
    <t>Constant</t>
  </si>
  <si>
    <t>The values are quantities that can be interpreted as constant over the time interval from the previous measurement.</t>
  </si>
  <si>
    <t>Avg</t>
  </si>
  <si>
    <t>Average</t>
  </si>
  <si>
    <t>The values represent the average over a time interval, such as daily mean discharge or daily mean temperature.</t>
  </si>
  <si>
    <t>Cat</t>
  </si>
  <si>
    <t>Categorical</t>
  </si>
  <si>
    <t>The values are categorical rather than continuous valued quantities. Mapping from Value values to categories is through the CategoryDefinitions table.</t>
  </si>
  <si>
    <t>Best</t>
  </si>
  <si>
    <t>Best Easy Estimator</t>
  </si>
  <si>
    <t>Best Easy Systematic Estimator BES = (Q1 +2Q2 +Q3)/4.  Q1, Q2, and Q3 are first, second, and third quartiles. See Woodcock, F. and Engel, C., 2005: Operational Consensus Forecasts.Weather and Forecasting, 20, 101-111. (http://www.bom.gov.au/nmoc/bulletins</t>
  </si>
  <si>
    <t>Cont</t>
  </si>
  <si>
    <t>Continuous</t>
  </si>
  <si>
    <t>A quantity specified at a particular instant in time measured with sufficient frequency (small spacing) to be interpreted as a continuous record of the phenomenon.</t>
  </si>
  <si>
    <t>At</t>
  </si>
  <si>
    <t>AtTime</t>
  </si>
  <si>
    <t>The phenomenon is sampled at a particular instant in time</t>
  </si>
  <si>
    <t>Max</t>
  </si>
  <si>
    <t>Maximum</t>
  </si>
  <si>
    <t>The values are the maximum values occurring at some time during a time interval, such as annual maximum discharge or a daily maximum air temperature.</t>
  </si>
  <si>
    <t>Var</t>
  </si>
  <si>
    <t>Variance</t>
  </si>
  <si>
    <t>The values represent the variance of a set of observations made over a time interval.  Variance computed using the unbiased formula SUM((Xi-mean)^2)/(n-1) are preferred.  The specific formula used to compute variance can be noted in the methods descriptio</t>
  </si>
  <si>
    <t>Med</t>
  </si>
  <si>
    <t>Median</t>
  </si>
  <si>
    <t>The values represent the median over a time interval, such as daily median discharge or daily median temperature.</t>
  </si>
  <si>
    <t>Min</t>
  </si>
  <si>
    <t>Minimum</t>
  </si>
  <si>
    <t>The values are the minimum values occurring at some time during a time interval, such as 7-day low flow for a year or the daily minimum temperature.</t>
  </si>
  <si>
    <t>Mod</t>
  </si>
  <si>
    <t>Modal</t>
  </si>
  <si>
    <t>The values are the most frequent values occurring at some time during a time interval, such as annual most frequent wind direction.</t>
  </si>
  <si>
    <t>SDev</t>
  </si>
  <si>
    <t>StandardDeviation</t>
  </si>
  <si>
    <t>The values represent the standard deviation of a set of observations made over a time interval. Standard deviation computed using the unbiased formula SQRT(SUM((Xi-mean)^2)/(n-1)) are preferred. The specific formula used to compute variance can be noted i</t>
  </si>
  <si>
    <t>Spo</t>
  </si>
  <si>
    <t>Sporadic</t>
  </si>
  <si>
    <t>The phenomenon is sampled at a particular instant in time but with a frequency that is too coarse for interpreting the record as continuous.  This would be the case when the spacing is significantly larger than the support and the time scale of fluctuatio</t>
  </si>
  <si>
    <t>Dis</t>
  </si>
  <si>
    <t>Runoff</t>
  </si>
  <si>
    <t>Temp</t>
  </si>
  <si>
    <t>Temperature</t>
  </si>
  <si>
    <t>Volt</t>
  </si>
  <si>
    <t>Voltage</t>
  </si>
  <si>
    <t>Press</t>
  </si>
  <si>
    <t>Pressure</t>
  </si>
  <si>
    <t>Sun</t>
  </si>
  <si>
    <t>SunshineDuration</t>
  </si>
  <si>
    <t>Vol</t>
  </si>
  <si>
    <t>Volume</t>
  </si>
  <si>
    <t>SampVol</t>
  </si>
  <si>
    <t>SampleVolume</t>
  </si>
  <si>
    <t>NSlCount</t>
  </si>
  <si>
    <t>SlowNeutronCount</t>
  </si>
  <si>
    <t>NEpiCount</t>
  </si>
  <si>
    <t>EpithermalNeutronCount</t>
  </si>
  <si>
    <t>RedPot</t>
  </si>
  <si>
    <t>RedoxPotential</t>
  </si>
  <si>
    <t>BSB</t>
  </si>
  <si>
    <t>CSB</t>
  </si>
  <si>
    <t>Conc</t>
  </si>
  <si>
    <t>Concentration</t>
  </si>
  <si>
    <t>Al</t>
  </si>
  <si>
    <t>ConcentrationAl</t>
  </si>
  <si>
    <t>CO2</t>
  </si>
  <si>
    <t>ConcentrationCO2</t>
  </si>
  <si>
    <t>Ca</t>
  </si>
  <si>
    <t>ConcentrationCa</t>
  </si>
  <si>
    <t>Cl</t>
  </si>
  <si>
    <t>ConcentrationCl</t>
  </si>
  <si>
    <t>DOC</t>
  </si>
  <si>
    <t>ConcentrationDOC</t>
  </si>
  <si>
    <t>Fe</t>
  </si>
  <si>
    <t>ConcentrationFe</t>
  </si>
  <si>
    <t>H2O</t>
  </si>
  <si>
    <t>ConcentrationH2O</t>
  </si>
  <si>
    <t>K</t>
  </si>
  <si>
    <t>ConcentrationK</t>
  </si>
  <si>
    <t>Mg</t>
  </si>
  <si>
    <t>ConcentrationMg</t>
  </si>
  <si>
    <t>Mn</t>
  </si>
  <si>
    <t>ConcentrationMn</t>
  </si>
  <si>
    <t>NH4</t>
  </si>
  <si>
    <t>ConcentrationNH4</t>
  </si>
  <si>
    <t>NO3</t>
  </si>
  <si>
    <t>ConcentrationNO3</t>
  </si>
  <si>
    <t>Ntot</t>
  </si>
  <si>
    <t>ConcentrationNTotal</t>
  </si>
  <si>
    <t>Na</t>
  </si>
  <si>
    <t>ConcentrationNa</t>
  </si>
  <si>
    <t>O2</t>
  </si>
  <si>
    <t>ConcentrationO2</t>
  </si>
  <si>
    <t>PO4</t>
  </si>
  <si>
    <t>ConcentrationPO4</t>
  </si>
  <si>
    <t>SO4</t>
  </si>
  <si>
    <t>ConcentrationSO4</t>
  </si>
  <si>
    <t>TOC</t>
  </si>
  <si>
    <t>ConcentrationTOC</t>
  </si>
  <si>
    <t>I</t>
  </si>
  <si>
    <t>Current</t>
  </si>
  <si>
    <t>EEM</t>
  </si>
  <si>
    <t>ElCond</t>
  </si>
  <si>
    <t>ElectricalConductivity</t>
  </si>
  <si>
    <t>HIX</t>
  </si>
  <si>
    <t>HeatFlux</t>
  </si>
  <si>
    <t>RadOut</t>
  </si>
  <si>
    <t>RadiationOutgoing</t>
  </si>
  <si>
    <t>total (Long+short) radiation</t>
  </si>
  <si>
    <t>Lvl</t>
  </si>
  <si>
    <t>Level</t>
  </si>
  <si>
    <t>Cnt</t>
  </si>
  <si>
    <t>Count</t>
  </si>
  <si>
    <t>MatPot</t>
  </si>
  <si>
    <t>MatrixPotential</t>
  </si>
  <si>
    <t>RadGl</t>
  </si>
  <si>
    <t>RadiationGlobal</t>
  </si>
  <si>
    <t>RadNet</t>
  </si>
  <si>
    <t>RadiationNet</t>
  </si>
  <si>
    <t>SUVA</t>
  </si>
  <si>
    <t>O2Sat</t>
  </si>
  <si>
    <t>SaturationO2</t>
  </si>
  <si>
    <t>VP</t>
  </si>
  <si>
    <t>VaporPressure</t>
  </si>
  <si>
    <t>PH</t>
  </si>
  <si>
    <t>pH</t>
  </si>
  <si>
    <t>Conn</t>
  </si>
  <si>
    <t>Connection</t>
  </si>
  <si>
    <t>Diag</t>
  </si>
  <si>
    <t>Diagnosis</t>
  </si>
  <si>
    <t>Raw</t>
  </si>
  <si>
    <t>RawOutput</t>
  </si>
  <si>
    <t>SigStr</t>
  </si>
  <si>
    <t>SignalStrength</t>
  </si>
  <si>
    <t>Dist</t>
  </si>
  <si>
    <t>Distance</t>
  </si>
  <si>
    <t>Type</t>
  </si>
  <si>
    <t>SonDist</t>
  </si>
  <si>
    <t>SonicDistance</t>
  </si>
  <si>
    <t>SonTemp</t>
  </si>
  <si>
    <t>SonicTemperature</t>
  </si>
  <si>
    <t>RadioTemp</t>
  </si>
  <si>
    <t>RadiometricTemperature</t>
  </si>
  <si>
    <t>WndDir</t>
  </si>
  <si>
    <t>WndSpd</t>
  </si>
  <si>
    <t>WindSpeed</t>
  </si>
  <si>
    <t>HailRate</t>
  </si>
  <si>
    <t>HailAm</t>
  </si>
  <si>
    <t>HailAmount</t>
  </si>
  <si>
    <t>OpTme</t>
  </si>
  <si>
    <t>OperatingTime</t>
  </si>
  <si>
    <t>RadIn</t>
  </si>
  <si>
    <t>RadiationIncoming</t>
  </si>
  <si>
    <t>WatCont</t>
  </si>
  <si>
    <t>WaterContent</t>
  </si>
  <si>
    <t>water content</t>
  </si>
  <si>
    <t>RelHum</t>
  </si>
  <si>
    <t>RelativeHumidity</t>
  </si>
  <si>
    <t>Wght</t>
  </si>
  <si>
    <t>Weight</t>
  </si>
  <si>
    <t>AbsHum</t>
  </si>
  <si>
    <t>AbsoluteHumidity</t>
  </si>
  <si>
    <t>RadPhoto</t>
  </si>
  <si>
    <t>RadiationPhotosyntheticActive</t>
  </si>
  <si>
    <t>RadShIn</t>
  </si>
  <si>
    <t>RadiationShortWaveIncoming</t>
  </si>
  <si>
    <t>RadShOut</t>
  </si>
  <si>
    <t>RadiationShortWaveOutgoing</t>
  </si>
  <si>
    <t>RadLoIn</t>
  </si>
  <si>
    <t>RadiationLongWaveIncoming</t>
  </si>
  <si>
    <t>RadLoOut</t>
  </si>
  <si>
    <t>RadiationLongWaveOutgoing</t>
  </si>
  <si>
    <t>SAC</t>
  </si>
  <si>
    <t>Absorbance</t>
  </si>
  <si>
    <t>Turb</t>
  </si>
  <si>
    <t>Turbidity</t>
  </si>
  <si>
    <t>Sn</t>
  </si>
  <si>
    <t>Snow</t>
  </si>
  <si>
    <t>Observation in, of or sample taken from snow</t>
  </si>
  <si>
    <t>So</t>
  </si>
  <si>
    <t>Soil</t>
  </si>
  <si>
    <t>Sample taken from the soil</t>
  </si>
  <si>
    <t>Sw</t>
  </si>
  <si>
    <t>SurfaceWater</t>
  </si>
  <si>
    <t>Observation or sample of surface water such as a stream, river, lake, pond, reservoir, ocean, etc.</t>
  </si>
  <si>
    <t>Air</t>
  </si>
  <si>
    <t>Sample taken from the atmosphere</t>
  </si>
  <si>
    <t>Tis</t>
  </si>
  <si>
    <t>Tissue</t>
  </si>
  <si>
    <t>Sample taken from the tissue of a biological organism</t>
  </si>
  <si>
    <t>Sed</t>
  </si>
  <si>
    <t>Sediment</t>
  </si>
  <si>
    <t>Sample taken from the sediment beneath the water column</t>
  </si>
  <si>
    <t>Sen</t>
  </si>
  <si>
    <t>Sensor</t>
  </si>
  <si>
    <t>Log</t>
  </si>
  <si>
    <t>​±0.5 hPa at 0 ... 30 °C (+32 ... +86 °F)
±1 hPa at -52 ... +60 °C (-60 ... +140 °F)</t>
  </si>
  <si>
    <t>Friedrichs 3112 hygrometer+2.53m</t>
  </si>
  <si>
    <t>%</t>
  </si>
  <si>
    <t>percent</t>
  </si>
  <si>
    <t>degree</t>
  </si>
  <si>
    <t>us</t>
  </si>
  <si>
    <t>microsecond</t>
  </si>
  <si>
    <t>rad</t>
  </si>
  <si>
    <t>radian</t>
  </si>
  <si>
    <t>degN</t>
  </si>
  <si>
    <t>degree north</t>
  </si>
  <si>
    <t>arcmin</t>
  </si>
  <si>
    <t>arcminute</t>
  </si>
  <si>
    <t>arcsec</t>
  </si>
  <si>
    <t>arcsecond</t>
  </si>
  <si>
    <t>ha</t>
  </si>
  <si>
    <t>hectare</t>
  </si>
  <si>
    <t>cm2</t>
  </si>
  <si>
    <t>square centimeter</t>
  </si>
  <si>
    <t>km2</t>
  </si>
  <si>
    <t>square kilometer</t>
  </si>
  <si>
    <t>m2</t>
  </si>
  <si>
    <t>square meter</t>
  </si>
  <si>
    <t>Hz</t>
  </si>
  <si>
    <t>hertz</t>
  </si>
  <si>
    <t>J</t>
  </si>
  <si>
    <t>joule</t>
  </si>
  <si>
    <t>kW*hr</t>
  </si>
  <si>
    <t>kilowatt hour</t>
  </si>
  <si>
    <t>eV</t>
  </si>
  <si>
    <t>electronvolt</t>
  </si>
  <si>
    <t>MJ*m-2*d-1</t>
  </si>
  <si>
    <t>megajoules per square meter per day</t>
  </si>
  <si>
    <t>W*cm-2</t>
  </si>
  <si>
    <t>watts per square centimeter</t>
  </si>
  <si>
    <t>W*m-2</t>
  </si>
  <si>
    <t>watts per square meter</t>
  </si>
  <si>
    <t>m3*s-1</t>
  </si>
  <si>
    <t>cubic meters per second</t>
  </si>
  <si>
    <t>m3*d-1</t>
  </si>
  <si>
    <t>cubic meters per day</t>
  </si>
  <si>
    <t>L*s-1</t>
  </si>
  <si>
    <t>liters per second</t>
  </si>
  <si>
    <t>N</t>
  </si>
  <si>
    <t>newton</t>
  </si>
  <si>
    <t>cm</t>
  </si>
  <si>
    <t>centimeter</t>
  </si>
  <si>
    <t>km</t>
  </si>
  <si>
    <t>kilometer</t>
  </si>
  <si>
    <t>m</t>
  </si>
  <si>
    <t>meter</t>
  </si>
  <si>
    <t>millimeter</t>
  </si>
  <si>
    <t>um</t>
  </si>
  <si>
    <t>micron</t>
  </si>
  <si>
    <t>Ã</t>
  </si>
  <si>
    <t>angstrom</t>
  </si>
  <si>
    <t>fm</t>
  </si>
  <si>
    <t>femtometer</t>
  </si>
  <si>
    <t>lx</t>
  </si>
  <si>
    <t>lux</t>
  </si>
  <si>
    <t>g</t>
  </si>
  <si>
    <t>gram</t>
  </si>
  <si>
    <t>kg</t>
  </si>
  <si>
    <t>kilogram</t>
  </si>
  <si>
    <t>mg</t>
  </si>
  <si>
    <t>milligram</t>
  </si>
  <si>
    <t>ug</t>
  </si>
  <si>
    <t>microgram</t>
  </si>
  <si>
    <t>t</t>
  </si>
  <si>
    <t>metric ton</t>
  </si>
  <si>
    <t>amu</t>
  </si>
  <si>
    <t>atomic mass unit</t>
  </si>
  <si>
    <t>kW</t>
  </si>
  <si>
    <t>kilowatt</t>
  </si>
  <si>
    <t>W</t>
  </si>
  <si>
    <t>watt</t>
  </si>
  <si>
    <t>VA</t>
  </si>
  <si>
    <t>voltampere</t>
  </si>
  <si>
    <t>Pa</t>
  </si>
  <si>
    <t>pascal</t>
  </si>
  <si>
    <t>mbar</t>
  </si>
  <si>
    <t>millibar</t>
  </si>
  <si>
    <t>meters*pixel-1</t>
  </si>
  <si>
    <t>meters per pixel</t>
  </si>
  <si>
    <t>meters per meter</t>
  </si>
  <si>
    <t>degC</t>
  </si>
  <si>
    <t>degree celsius</t>
  </si>
  <si>
    <t>degK</t>
  </si>
  <si>
    <t>degree kelvin</t>
  </si>
  <si>
    <t>s</t>
  </si>
  <si>
    <t>Second</t>
  </si>
  <si>
    <t>millisec</t>
  </si>
  <si>
    <t>Millisecond</t>
  </si>
  <si>
    <t>min</t>
  </si>
  <si>
    <t>Minute</t>
  </si>
  <si>
    <t>hr</t>
  </si>
  <si>
    <t>Hour</t>
  </si>
  <si>
    <t>Day</t>
  </si>
  <si>
    <t>week</t>
  </si>
  <si>
    <t>Week</t>
  </si>
  <si>
    <t>month</t>
  </si>
  <si>
    <t>Month</t>
  </si>
  <si>
    <t>yr</t>
  </si>
  <si>
    <t>common year (365 days)</t>
  </si>
  <si>
    <t>leapyr</t>
  </si>
  <si>
    <t>leap year (366 days)</t>
  </si>
  <si>
    <t>julyr</t>
  </si>
  <si>
    <t>Julian year (365.25 days)</t>
  </si>
  <si>
    <t>gregyr</t>
  </si>
  <si>
    <t>Gregorian year (365.2425 days)</t>
  </si>
  <si>
    <t>cm*hr-1</t>
  </si>
  <si>
    <t>centimeters per hour</t>
  </si>
  <si>
    <t>cm*s-1</t>
  </si>
  <si>
    <t>centimeters per second</t>
  </si>
  <si>
    <t>km*h-1</t>
  </si>
  <si>
    <t>kilometers per hour</t>
  </si>
  <si>
    <t>m*d-1</t>
  </si>
  <si>
    <t>meters per day</t>
  </si>
  <si>
    <t>m*hr-1</t>
  </si>
  <si>
    <t>meters per hour</t>
  </si>
  <si>
    <t>m*s-1</t>
  </si>
  <si>
    <t>meters per second</t>
  </si>
  <si>
    <t>mm*hr-1</t>
  </si>
  <si>
    <t>millimeters per hour</t>
  </si>
  <si>
    <t>cm3</t>
  </si>
  <si>
    <t>cubic centimeter</t>
  </si>
  <si>
    <t>m3</t>
  </si>
  <si>
    <t>cubic meter</t>
  </si>
  <si>
    <t>hec*m</t>
  </si>
  <si>
    <t>hectare meter</t>
  </si>
  <si>
    <t>L</t>
  </si>
  <si>
    <t>liter</t>
  </si>
  <si>
    <t>dimensionless</t>
  </si>
  <si>
    <t>MJ</t>
  </si>
  <si>
    <t>mega joule</t>
  </si>
  <si>
    <t>dddmmss</t>
  </si>
  <si>
    <t>degrees minutes seconds</t>
  </si>
  <si>
    <t>ml*cm-2*d-1</t>
  </si>
  <si>
    <t>milliliters per square centimeter per day</t>
  </si>
  <si>
    <t>umol*m-2*s-1</t>
  </si>
  <si>
    <t>micromoles of photons per square meter per second</t>
  </si>
  <si>
    <t>MJ*m-2</t>
  </si>
  <si>
    <t>megajoules per square meter</t>
  </si>
  <si>
    <t>mmol*m-2</t>
  </si>
  <si>
    <t>millimoles of photons per square meter</t>
  </si>
  <si>
    <t>cm-1</t>
  </si>
  <si>
    <t>absorbance per centimeter</t>
  </si>
  <si>
    <t>ng</t>
  </si>
  <si>
    <t>nanogram</t>
  </si>
  <si>
    <t>pg</t>
  </si>
  <si>
    <t>picogram</t>
  </si>
  <si>
    <t>meq</t>
  </si>
  <si>
    <t>milliequivalents</t>
  </si>
  <si>
    <t>g*m-2</t>
  </si>
  <si>
    <t>grams per square meter</t>
  </si>
  <si>
    <t>mg*m-2</t>
  </si>
  <si>
    <t>milligrams per square meter</t>
  </si>
  <si>
    <t>ug*m-2</t>
  </si>
  <si>
    <t>micrograms per square meter</t>
  </si>
  <si>
    <t>g*m-2*d-1</t>
  </si>
  <si>
    <t>grams per square meter per day</t>
  </si>
  <si>
    <t>g*d-1</t>
  </si>
  <si>
    <t>grams per day</t>
  </si>
  <si>
    <t>ton*d-1</t>
  </si>
  <si>
    <t>tons per day</t>
  </si>
  <si>
    <t>mg*m-3*d-1</t>
  </si>
  <si>
    <t>milligrams per cubic meter per day</t>
  </si>
  <si>
    <t>mg*m-2*d-1</t>
  </si>
  <si>
    <t>milligrams per square meter per day</t>
  </si>
  <si>
    <t>V</t>
  </si>
  <si>
    <t>volts</t>
  </si>
  <si>
    <t>kPa</t>
  </si>
  <si>
    <t>kilopascal</t>
  </si>
  <si>
    <t>MPa</t>
  </si>
  <si>
    <t>megapascal</t>
  </si>
  <si>
    <t>Bq</t>
  </si>
  <si>
    <t>becquerel</t>
  </si>
  <si>
    <t>Bq*g-1</t>
  </si>
  <si>
    <t>becquerels per gram</t>
  </si>
  <si>
    <t>pCi</t>
  </si>
  <si>
    <t>picocurie</t>
  </si>
  <si>
    <t>ohm</t>
  </si>
  <si>
    <t>ohm*m</t>
  </si>
  <si>
    <t>ohm meter</t>
  </si>
  <si>
    <t>hhmm</t>
  </si>
  <si>
    <t>hour minute</t>
  </si>
  <si>
    <t>yymmdd</t>
  </si>
  <si>
    <t>year month day</t>
  </si>
  <si>
    <t>yyddd</t>
  </si>
  <si>
    <t>year day (Julian)</t>
  </si>
  <si>
    <t>ml</t>
  </si>
  <si>
    <t>milliliter</t>
  </si>
  <si>
    <t>uS*cm-1</t>
  </si>
  <si>
    <t>microsiemens per centimeter</t>
  </si>
  <si>
    <t>dB</t>
  </si>
  <si>
    <t>decibel</t>
  </si>
  <si>
    <t>cm3*g-1</t>
  </si>
  <si>
    <t>cubic centimeters per gram</t>
  </si>
  <si>
    <t>m2*g-1</t>
  </si>
  <si>
    <t>square meters per gram</t>
  </si>
  <si>
    <t>g*cm-3</t>
  </si>
  <si>
    <t>grams per cubic centimeter</t>
  </si>
  <si>
    <t>mg*L-1</t>
  </si>
  <si>
    <t>milligrams per liter</t>
  </si>
  <si>
    <t>ng*m-3</t>
  </si>
  <si>
    <t>nanograms per cubic meter</t>
  </si>
  <si>
    <t>ng*L-1</t>
  </si>
  <si>
    <t>nanograms per liter</t>
  </si>
  <si>
    <t>g*L-1</t>
  </si>
  <si>
    <t>grams per liter</t>
  </si>
  <si>
    <t>ug*m-3</t>
  </si>
  <si>
    <t>micrograms per cubic meter</t>
  </si>
  <si>
    <t>ug*L-1</t>
  </si>
  <si>
    <t>micrograms per liter</t>
  </si>
  <si>
    <t>ppm</t>
  </si>
  <si>
    <t>parts per million</t>
  </si>
  <si>
    <t>ppb</t>
  </si>
  <si>
    <t>parts per billion</t>
  </si>
  <si>
    <t>ppt</t>
  </si>
  <si>
    <t>parts per trillion</t>
  </si>
  <si>
    <t>ppqt</t>
  </si>
  <si>
    <t>parts per quintillion</t>
  </si>
  <si>
    <t>ppq</t>
  </si>
  <si>
    <t>parts per quadrillion</t>
  </si>
  <si>
    <t>%o</t>
  </si>
  <si>
    <t>per mille</t>
  </si>
  <si>
    <t>ueq*L-1</t>
  </si>
  <si>
    <t>microequivalents per liter</t>
  </si>
  <si>
    <t>meq*L-1</t>
  </si>
  <si>
    <t>milliequivalents per liter</t>
  </si>
  <si>
    <t>meq*100g-1</t>
  </si>
  <si>
    <t>milliequivalents per 100 gram</t>
  </si>
  <si>
    <t>mOsm/kg</t>
  </si>
  <si>
    <t>milliosmols per kilogram</t>
  </si>
  <si>
    <t>nmol*L-1</t>
  </si>
  <si>
    <t>nanomoles per liter</t>
  </si>
  <si>
    <t>pg*m-3</t>
  </si>
  <si>
    <t>picograms per cubic meter</t>
  </si>
  <si>
    <t>pg*L-1</t>
  </si>
  <si>
    <t>picograms per liter</t>
  </si>
  <si>
    <t>pg*ml-1</t>
  </si>
  <si>
    <t>picograms per milliliter</t>
  </si>
  <si>
    <t>BU</t>
  </si>
  <si>
    <t>backscatter units</t>
  </si>
  <si>
    <t>AU</t>
  </si>
  <si>
    <t>attenuation units</t>
  </si>
  <si>
    <t>L*mgDOC-1*cm</t>
  </si>
  <si>
    <t>ratio of UV abs. at  254 nm and DOC level</t>
  </si>
  <si>
    <t>#*m-23</t>
  </si>
  <si>
    <t>number of organisms per square meter</t>
  </si>
  <si>
    <t>#*L-1</t>
  </si>
  <si>
    <t>number of organisms per liter</t>
  </si>
  <si>
    <t>#*m-3</t>
  </si>
  <si>
    <t>number or organisms per cubic meter</t>
  </si>
  <si>
    <t>CFU/ml</t>
  </si>
  <si>
    <t>colony forming units per milliliter</t>
  </si>
  <si>
    <t>MPN</t>
  </si>
  <si>
    <t>most probable number</t>
  </si>
  <si>
    <t>MPN*100L-1</t>
  </si>
  <si>
    <t>most probable number per 100 liters</t>
  </si>
  <si>
    <t>MPN*100ml-1</t>
  </si>
  <si>
    <t>most probable number per 100 milliliters</t>
  </si>
  <si>
    <t>MPN*g-1</t>
  </si>
  <si>
    <t>most probable number per gram</t>
  </si>
  <si>
    <t>PFU*100L-1</t>
  </si>
  <si>
    <t>plaque-forming units per 100 liters</t>
  </si>
  <si>
    <t>plaques*100ml-1</t>
  </si>
  <si>
    <t>plaques per 100 milliliters</t>
  </si>
  <si>
    <t>#*s-1</t>
  </si>
  <si>
    <t>counts per second</t>
  </si>
  <si>
    <t>d-1</t>
  </si>
  <si>
    <t>per day</t>
  </si>
  <si>
    <t>ng*m-2*hr-1</t>
  </si>
  <si>
    <t>nanograms per square meter per hour</t>
  </si>
  <si>
    <t>ng*m-2*week-1</t>
  </si>
  <si>
    <t>nanograms per square meter per week</t>
  </si>
  <si>
    <t>#</t>
  </si>
  <si>
    <t>count</t>
  </si>
  <si>
    <t>categorical</t>
  </si>
  <si>
    <t>100*cm-1*L*mg-1</t>
  </si>
  <si>
    <t>absorbance per centimeter per mg/L of given acid</t>
  </si>
  <si>
    <t>L-1</t>
  </si>
  <si>
    <t>per liter</t>
  </si>
  <si>
    <t>%o*hr-1</t>
  </si>
  <si>
    <t>per mille per hour</t>
  </si>
  <si>
    <t>%o*vol-1</t>
  </si>
  <si>
    <t>per mille by volume</t>
  </si>
  <si>
    <t>%o*hr-1*vol-1</t>
  </si>
  <si>
    <t>per mille per hour by volume</t>
  </si>
  <si>
    <t>umol</t>
  </si>
  <si>
    <t>micromoles</t>
  </si>
  <si>
    <t>S*m-1</t>
  </si>
  <si>
    <t>siemens per meter</t>
  </si>
  <si>
    <t>mS*cm-1</t>
  </si>
  <si>
    <t>millisiemens per centimeter</t>
  </si>
  <si>
    <t>S*cm-1</t>
  </si>
  <si>
    <t>siemens per centimeter</t>
  </si>
  <si>
    <t>m-1</t>
  </si>
  <si>
    <t>per meter</t>
  </si>
  <si>
    <t>nmol*kg-1</t>
  </si>
  <si>
    <t>nanomoles per kilogram</t>
  </si>
  <si>
    <t>mmol*kg-1</t>
  </si>
  <si>
    <t>millimoles per kilogram</t>
  </si>
  <si>
    <t>mmol*m-2*hr-1</t>
  </si>
  <si>
    <t>millimoles per square meter per hour</t>
  </si>
  <si>
    <t>mg*m-3*hr-1</t>
  </si>
  <si>
    <t>milligrams per cubic meter per hour</t>
  </si>
  <si>
    <t>mg*d-1</t>
  </si>
  <si>
    <t>milligrams per day</t>
  </si>
  <si>
    <t>L*min-1</t>
  </si>
  <si>
    <t>liters per minute</t>
  </si>
  <si>
    <t>L*d-1</t>
  </si>
  <si>
    <t>liters per day</t>
  </si>
  <si>
    <t>fibers*L-1</t>
  </si>
  <si>
    <t>fibers per liter</t>
  </si>
  <si>
    <t>cm3*sec-1</t>
  </si>
  <si>
    <t>cubic centimeters per second</t>
  </si>
  <si>
    <t>CFU</t>
  </si>
  <si>
    <t>colony forming units</t>
  </si>
  <si>
    <t>CFU*100ml-1</t>
  </si>
  <si>
    <t>colony forming units per 100 milliliter</t>
  </si>
  <si>
    <t>%*vol-1</t>
  </si>
  <si>
    <t>percent by volume</t>
  </si>
  <si>
    <t>#*500ml-1</t>
  </si>
  <si>
    <t>number of organisms per 500 milliliter</t>
  </si>
  <si>
    <t>g*m3*hr-1</t>
  </si>
  <si>
    <t>grams per cubic meter per hour</t>
  </si>
  <si>
    <t>g*min-1</t>
  </si>
  <si>
    <t>grams per minute</t>
  </si>
  <si>
    <t>g*s-1</t>
  </si>
  <si>
    <t>grams per second</t>
  </si>
  <si>
    <t>mmyy</t>
  </si>
  <si>
    <t>month year</t>
  </si>
  <si>
    <t>bar</t>
  </si>
  <si>
    <t>dS*cm-1</t>
  </si>
  <si>
    <t>decisiemens per centimeter</t>
  </si>
  <si>
    <t>umol*L-1</t>
  </si>
  <si>
    <t>micromoles per liter</t>
  </si>
  <si>
    <t>J*cm-2</t>
  </si>
  <si>
    <t>Joules per square centimeter</t>
  </si>
  <si>
    <t>mm*day-1</t>
  </si>
  <si>
    <t>millimeters per day</t>
  </si>
  <si>
    <t>ppth</t>
  </si>
  <si>
    <t>parts per thousand</t>
  </si>
  <si>
    <t>%_Sat</t>
  </si>
  <si>
    <t>Percent Saturation</t>
  </si>
  <si>
    <t>pH Unit</t>
  </si>
  <si>
    <t>mm*s-1</t>
  </si>
  <si>
    <t>millimeters per second</t>
  </si>
  <si>
    <t>L*hr-1</t>
  </si>
  <si>
    <t>liters per hour</t>
  </si>
  <si>
    <t>not applicable</t>
  </si>
  <si>
    <t>centimeters</t>
  </si>
  <si>
    <t>mg*m-3</t>
  </si>
  <si>
    <t>milligrams per cubic meter</t>
  </si>
  <si>
    <t>mmol*m-3</t>
  </si>
  <si>
    <t>millimoles per cubic meter</t>
  </si>
  <si>
    <t>10min</t>
  </si>
  <si>
    <t>10 Minutes</t>
  </si>
  <si>
    <t>15min</t>
  </si>
  <si>
    <t>15 Minutes</t>
  </si>
  <si>
    <t>20s-1</t>
  </si>
  <si>
    <t>20 Hz</t>
  </si>
  <si>
    <t>Bft</t>
  </si>
  <si>
    <t>beaufort</t>
  </si>
  <si>
    <t>mm*min-1</t>
  </si>
  <si>
    <t>millimeters per minute</t>
  </si>
  <si>
    <t>g*m-3</t>
  </si>
  <si>
    <t>grams per cubic meter</t>
  </si>
  <si>
    <t>30min</t>
  </si>
  <si>
    <t>30 Minutes</t>
  </si>
  <si>
    <t>12min</t>
  </si>
  <si>
    <t>12 Minutes</t>
  </si>
  <si>
    <t>5min</t>
  </si>
  <si>
    <t>5 Minutes</t>
  </si>
  <si>
    <t>50ms</t>
  </si>
  <si>
    <t>50 Milliseconds</t>
  </si>
  <si>
    <t>20 Hz data</t>
  </si>
  <si>
    <t>cm-2</t>
  </si>
  <si>
    <t>hits per square centimeter</t>
  </si>
  <si>
    <t>min-1*cm-2</t>
  </si>
  <si>
    <t>hits per square centimeter and minute</t>
  </si>
  <si>
    <t>hr-1*cm-2</t>
  </si>
  <si>
    <t>hits per square centimeter and hour</t>
  </si>
  <si>
    <t>1 Minute</t>
  </si>
  <si>
    <t>NTU</t>
  </si>
  <si>
    <t>nephelometric turbidity units</t>
  </si>
  <si>
    <t>Stationsname</t>
  </si>
  <si>
    <t>Stationstyp</t>
  </si>
  <si>
    <t>allgemeine Informationen</t>
  </si>
  <si>
    <t>Stationskennung</t>
  </si>
  <si>
    <t>Testgebiet</t>
  </si>
  <si>
    <t>Projekt</t>
  </si>
  <si>
    <t>UMS TDR-0.2m-1</t>
  </si>
  <si>
    <t>Anleitung:</t>
  </si>
  <si>
    <t>intended apps</t>
  </si>
  <si>
    <t>Testsites</t>
  </si>
  <si>
    <t>Position (in Dezimalgrad)</t>
  </si>
  <si>
    <t>Länge</t>
  </si>
  <si>
    <t>Breite</t>
  </si>
  <si>
    <t>Verantwortlichkeiten</t>
  </si>
  <si>
    <t>Organisation</t>
  </si>
  <si>
    <t>Messstellenverantwortlicher</t>
  </si>
  <si>
    <t>Verantwortlich für Inhalt</t>
  </si>
  <si>
    <t>Verantwortlich für Datenimport und Datenaufbereitung</t>
  </si>
  <si>
    <t>Verantwortlich für Qualitätskontrolle</t>
  </si>
  <si>
    <t>Höhe über Normalnull in Metern</t>
  </si>
  <si>
    <t>Atmosphere-Aerosols</t>
  </si>
  <si>
    <t>Atmosphere-HumidityFields</t>
  </si>
  <si>
    <t>Atmosphere-TemperatureFields</t>
  </si>
  <si>
    <t>Atmosphere-CloudParticles</t>
  </si>
  <si>
    <t>Atmosphere-CloudType</t>
  </si>
  <si>
    <t>Atmosphere-CloudTopTemp</t>
  </si>
  <si>
    <t>Atmosphere-WaterPrecipitation</t>
  </si>
  <si>
    <t>Atmosphere-Ozone</t>
  </si>
  <si>
    <t>Atmosphere-RadiationBudget</t>
  </si>
  <si>
    <t>Atmosphere-TraceGases</t>
  </si>
  <si>
    <t>Land-AlbedoReflectance</t>
  </si>
  <si>
    <t>Land-Topography</t>
  </si>
  <si>
    <t>Land-SoilMoisture</t>
  </si>
  <si>
    <t>Land-Vegetation</t>
  </si>
  <si>
    <t>Land-SurfaceTemperature</t>
  </si>
  <si>
    <t>Land-Multi-purposeImagery</t>
  </si>
  <si>
    <t>Ocean-ColorBiology</t>
  </si>
  <si>
    <t>Ocean-TopographyCurrents</t>
  </si>
  <si>
    <t>Ocean-SurfaceWinds</t>
  </si>
  <si>
    <t>Ocean-WaveHeight</t>
  </si>
  <si>
    <t>Ocean-SurfaceTemperature</t>
  </si>
  <si>
    <t>Ocean-Multi-purposeImagery</t>
  </si>
  <si>
    <t>Ice-Topography</t>
  </si>
  <si>
    <t>Snow-Cover</t>
  </si>
  <si>
    <t>Ice-Cover</t>
  </si>
  <si>
    <t>Gravity-MagneticGeodynamic</t>
  </si>
  <si>
    <t>Biota</t>
  </si>
  <si>
    <t>Climate</t>
  </si>
  <si>
    <t>EOInstrumentApplication</t>
  </si>
  <si>
    <t>Hydrology</t>
  </si>
  <si>
    <t>Unknown</t>
  </si>
  <si>
    <t>WaterQuality</t>
  </si>
  <si>
    <t>Geology</t>
  </si>
  <si>
    <t>topic categories</t>
  </si>
  <si>
    <t>Schlüsselworte</t>
  </si>
  <si>
    <t>biota</t>
  </si>
  <si>
    <t>boundaries</t>
  </si>
  <si>
    <t>economy</t>
  </si>
  <si>
    <t>elevation</t>
  </si>
  <si>
    <t>environment</t>
  </si>
  <si>
    <t>farming</t>
  </si>
  <si>
    <t>geoscientificInformation</t>
  </si>
  <si>
    <t>health</t>
  </si>
  <si>
    <t>imageryBaseMapsEarthCover</t>
  </si>
  <si>
    <t>inlandWaters</t>
  </si>
  <si>
    <t>location</t>
  </si>
  <si>
    <t>oceans</t>
  </si>
  <si>
    <t>planningCadastre</t>
  </si>
  <si>
    <t>society</t>
  </si>
  <si>
    <t>structure</t>
  </si>
  <si>
    <t>transportation</t>
  </si>
  <si>
    <t>utilitiesCommunication</t>
  </si>
  <si>
    <t>climatologyMeteorologyAtmosphere</t>
  </si>
  <si>
    <t>Anwendungsbereich</t>
  </si>
  <si>
    <t>Allgemeines:</t>
  </si>
  <si>
    <t xml:space="preserve"> Diese EXCEL-Datei dient dazu, alle für das Einpflegen der Stationsdaten in die Dateninfrastruktur erforderlichen Angaben zu erfassen. </t>
  </si>
  <si>
    <t>2.</t>
  </si>
  <si>
    <t>Eine sorgfältige Bearbeitung ist wichtig, um fehlerhafte Importe, Nachfragen und umständliche Nachbearbeitungen zu vermeiden.</t>
  </si>
  <si>
    <t xml:space="preserve"> für jede Messstelle ist grundsätzlich ein Datenblatt auszufüllen</t>
  </si>
  <si>
    <t>Das Einpflegen der Daten durch das Datenmanagement basiert ausschließlich auf den hier gemachten Angaben</t>
  </si>
  <si>
    <t>Vorgehensweise</t>
  </si>
  <si>
    <t>1.</t>
  </si>
  <si>
    <t>Schaltfläche klicken, um die Sensorkonfiguration der Messstelle zu bearbeiten</t>
  </si>
  <si>
    <t>Schaltfläche klicken, um die allgemeinen Messstelleninformationen zu bearbeiten</t>
  </si>
  <si>
    <t>Sensorposition in Metern über/unter Geländeoberfläche angeben. Feld freilassen, oder anderen Bezugswert in Feld "Beschreibung" angeben, falls erforderlich (z.B. 10 cm unter Wasserspiegel")</t>
  </si>
  <si>
    <t>Sensornamen aus Auswahlliste einfügen. Ist der Sensor nicht in der Liste vorhanden, die folgende Schaltfläche drücken</t>
  </si>
  <si>
    <t>Beispiel 1</t>
  </si>
  <si>
    <t>Beispiel 2: 10 cm unter GOK, Sensor1</t>
  </si>
  <si>
    <t>Beispiel 3:10 cm unter GOK, Sensor2</t>
  </si>
  <si>
    <t>Sensorposition</t>
  </si>
  <si>
    <t>Meter unter/über GOK</t>
  </si>
  <si>
    <t>Zusatzangaben</t>
  </si>
  <si>
    <t>Beschreibung</t>
  </si>
  <si>
    <t>eindeutige Sensorkennung</t>
  </si>
  <si>
    <t>(wird automatisch erstellt))</t>
  </si>
  <si>
    <t>(Auswahl aus Blatt "Sensors")</t>
  </si>
  <si>
    <t>Technisch Verantwortlicher</t>
  </si>
  <si>
    <t xml:space="preserve"> Kategorien</t>
  </si>
  <si>
    <t>Zusatzangaben einfügen. Erforderlich, wenn auf gleicher Höhe ode Tiefe zwei Sensoren des gleichen Tpys verbaut sind.</t>
  </si>
  <si>
    <t>Die eindeutige Sensorkennung wird automatisch erstellt und wird für die Paramerterbeschreibung benötigt.</t>
  </si>
  <si>
    <t>Optionale Beschreibung einfügen (z.B. "ab 17.1.2012", "bis 1.1.2013", "defekt")</t>
  </si>
  <si>
    <t>Die in hell unterlegten Werte geben die derzeit in der Datenbank erfassten Sensorinformationen wieder.</t>
  </si>
  <si>
    <t>Ist der verwendete Sensor nicht in der Liste vorhanden, können unten in den dunkler hinterlegten Feldern neue Werte angefügt werden</t>
  </si>
  <si>
    <t>C107 thermometer</t>
  </si>
  <si>
    <t>Abkürzung</t>
  </si>
  <si>
    <t>Kennung</t>
  </si>
  <si>
    <t>Bemerkungen</t>
  </si>
  <si>
    <t>Ist das beprobte Medium nicht in der Liste vorhanden, können unten in den dunkler hinterlegten Feldern neue Werte angefügt werden</t>
  </si>
  <si>
    <t>Ist die Einheit nicht in der Liste vorhanden, können unten in den dunkler hinterlegten Feldern neue Werte angefügt werden</t>
  </si>
  <si>
    <t>Ist die gemessene pyhsikalische Eigenschaft nicht in der Liste vorhanden, können unten in den dunkler hinterlegten Feldern neue Werte angefügt werden</t>
  </si>
  <si>
    <t>Ist der Messwerttyp nicht in der Liste vorhanden, können unten in den dunkler hinterlegten Feldern neue Werte angefügt werden</t>
  </si>
  <si>
    <t>Sensorname</t>
  </si>
  <si>
    <t>Herrsteller</t>
  </si>
  <si>
    <t>Sensortyp</t>
  </si>
  <si>
    <t>Modell</t>
  </si>
  <si>
    <t>Präfix des Namens der Loggerdatei</t>
  </si>
  <si>
    <t>Dateiformat (ASCII, Excel)</t>
  </si>
  <si>
    <t>Importprozess der Daten (z.B: E-Mail, automatischer/manueller Upload, ...)</t>
  </si>
  <si>
    <t>Zeitzone der Daten (z.B. UTC, CET, MESZ)</t>
  </si>
  <si>
    <t>Trennzeichen der Spalten (z.B. ',', ';', space, tab)</t>
  </si>
  <si>
    <t>Übertragungszeitintervall der Loggerdaten (z.B. 2/Tag, stündlich)</t>
  </si>
  <si>
    <t>Zeitintervall zwischen zwei Messungen (z.B. 10 Minuten)</t>
  </si>
  <si>
    <t>Alle Dateinnamen des Loggers müssen mit dem angegebenen Prefix beginnen. Danach muss ein "_" folgen. Weitere "_" dürfen nicht im Namen vorhanden sein. Der Rest des Dateinmanes ist frei wählbar, sollte sich aber von Datei zu Datei unterscheiden (z.B. Zeitstempel)</t>
  </si>
  <si>
    <t>Bei EXCEL-Dateien müssen die Daten im ersten Arbeitsblatt sein.</t>
  </si>
  <si>
    <t>Spaltennummer</t>
  </si>
  <si>
    <t>Spaltenname</t>
  </si>
  <si>
    <t>Format des Zeitstempels (z.B. 'YYYY-MM-dd hh:mm:ss', 18.7.2013 17:30)</t>
  </si>
  <si>
    <t>Spaltennummer des Zeitstempels</t>
  </si>
  <si>
    <t>Die Spaltennummer gibt die Nummer der Spalte in der Loggerdatei an, beginnend mit 1</t>
  </si>
  <si>
    <t>Der Spaltenname ist optional und dient nur zur Orientierung</t>
  </si>
  <si>
    <t>Beschreibung der Messgröße</t>
  </si>
  <si>
    <t>Medium</t>
  </si>
  <si>
    <t>Physik. Eigenschaft</t>
  </si>
  <si>
    <t>Messwertyp</t>
  </si>
  <si>
    <t>zeitliche Aggregation</t>
  </si>
  <si>
    <t>Einheit</t>
  </si>
  <si>
    <t>Das Medium aus Auswahlliste einfügen. Ist der gewünschte Wert nicht in der Liste vorhanden, die folgende Schaltfläche drücken</t>
  </si>
  <si>
    <t>Gemessene physikalische Eigenschaft aus der Auswahlliste einfügen. Ist der gewünschte Wert nicht in der Liste vorhanden, die folgende Schaltfläche drücken</t>
  </si>
  <si>
    <t>Gemessenen Messwerttyp aus der Auswahlliste einfügen. Ist der gewünschte Wert nicht in der Liste vorhanden, die folgende Schaltfläche drücken</t>
  </si>
  <si>
    <t>zeitliche Aggregation angeben, falls vorhanden, z.B. 10 Minuten</t>
  </si>
  <si>
    <t>Einheit aus der Auswahlliste einfügen. Ist der gewünschte Wert nicht in der Liste vorhanden, die folgende Schaltfläche drücken</t>
  </si>
  <si>
    <t>Filter: kleinsten und größten gültigen Messwert angeben (optional)</t>
  </si>
  <si>
    <t>Sensorkennung</t>
  </si>
  <si>
    <t>Sensorkennung aus der Auswahlliste einfügen. Ist der gewünschte Wert nicht in der Liste vorhanden, die folgende Schaltfläche drücken</t>
  </si>
  <si>
    <t>öffentlich</t>
  </si>
  <si>
    <t>Genauigkeitsinformationen</t>
  </si>
  <si>
    <t xml:space="preserve">Umrechungsbeziehungen </t>
  </si>
  <si>
    <t>angeben, ob der verarbeitete Wert öffentlich zur Verfügung stehen soll (Standard=Y)</t>
  </si>
  <si>
    <t xml:space="preserve">Hier die Beziehung angeben, mit der der in der angegebenen Spalte vorliegende Wert in eine andere Größe umgerechnet werden soll. ACHTUNG: der Direktimport des Wertes muss IMMER angegeben werden  </t>
  </si>
  <si>
    <t>Hier angeben, mit welcher Genauigkeit die Werte gemessen werden (optional)</t>
  </si>
  <si>
    <t>10 Minuten</t>
  </si>
  <si>
    <t>soilm_mV</t>
  </si>
  <si>
    <t>Bodenfeuchte Sensoroutput</t>
  </si>
  <si>
    <t>Volts</t>
  </si>
  <si>
    <t>0.001 (mV in V)</t>
  </si>
  <si>
    <t>Bodenfeuchte</t>
  </si>
  <si>
    <t>%=100*(mV/2.6-3)</t>
  </si>
  <si>
    <t>0.2 mV</t>
  </si>
  <si>
    <t>Schaltfläche klicken, um die Loggerdatei zu charakterisieren und den Datenimport zu konfigurieren</t>
  </si>
  <si>
    <t>Atmosphere-WindFields</t>
  </si>
  <si>
    <t>Rotronic</t>
  </si>
  <si>
    <t>Hygroclip</t>
  </si>
  <si>
    <t>combined probe to measure air temperature and relative humidity in air</t>
  </si>
  <si>
    <t>S3</t>
  </si>
  <si>
    <t>http://www.rotronic.de/humidity-measurement-feuchtemessung-temperaturmessung/humidity-measurement-feuchte-messung/hc2-s3.html</t>
  </si>
  <si>
    <t>CET</t>
  </si>
  <si>
    <t>Rotronic Hygroclip Air Temperature Sensor</t>
  </si>
  <si>
    <t>Rotronic Hygroclip Air Humidity Sensor</t>
  </si>
  <si>
    <t>Schenk</t>
  </si>
  <si>
    <t>Sternpyranometer</t>
  </si>
  <si>
    <t>Global radiation sensor, Philip Schenk, Vienna, Austria</t>
  </si>
  <si>
    <t>http://www.schenk.co.at/uploads/tx_dwproducts/M_8102_D_2014-02.pdf</t>
  </si>
  <si>
    <t>Schenk 8101 global radiometer</t>
  </si>
  <si>
    <t>Vector Instruments</t>
  </si>
  <si>
    <t>A100L2</t>
  </si>
  <si>
    <t>W200P</t>
  </si>
  <si>
    <t>http://www.windspeed.co.uk/ws/index.php?option=displaypage&amp;op=page&amp;Itemid=49#downloads</t>
  </si>
  <si>
    <t>http://www.windspeed.co.uk/ws/index.php?option=displaypage&amp;op=page&amp;Itemid=61</t>
  </si>
  <si>
    <t>anemometer</t>
  </si>
  <si>
    <t>Vector anemometer wind speed sensor</t>
  </si>
  <si>
    <t>windvane</t>
  </si>
  <si>
    <t>Vector potentiometer wind direction sensor</t>
  </si>
  <si>
    <t>wind direction sensor meeting the requirements of the IEC61400-12-1 standard</t>
  </si>
  <si>
    <t>anemometer developed from the proven A100 Porton™ instrument and R30 rotor design in response to demand for an anemometer offering pulse/frequency and analogue voltage outputs while consuming little supply current</t>
  </si>
  <si>
    <t>Ott Hydromet</t>
  </si>
  <si>
    <t>Pluvio2</t>
  </si>
  <si>
    <t>http://www.ott.com/de-de/produkte/meteorologie/ott-pluvio2-regenmesser-niederschlagsmesser/</t>
  </si>
  <si>
    <t>OTT Pluvio² - Weighing Rain Gauge, All-weather, high accuracy rain gauge for continuous data collection</t>
  </si>
  <si>
    <t>Ott Pluvio2 Ombrometer</t>
  </si>
  <si>
    <t>Sum of precipitation</t>
  </si>
  <si>
    <t>PrecipSum</t>
  </si>
  <si>
    <t>PrecipitationSum</t>
  </si>
  <si>
    <t>Ber</t>
  </si>
  <si>
    <t>TERENO</t>
  </si>
  <si>
    <t>Carsten Jahn</t>
  </si>
  <si>
    <t>carsten.jahn@kit.edu</t>
  </si>
  <si>
    <t>KIT IMK-IFU</t>
  </si>
  <si>
    <t>Berg</t>
  </si>
  <si>
    <t>Garmisch</t>
  </si>
  <si>
    <t>GAP</t>
  </si>
  <si>
    <t>GRA</t>
  </si>
  <si>
    <t>Graswang</t>
  </si>
  <si>
    <t>ROT</t>
  </si>
  <si>
    <t>Rottenbuch</t>
  </si>
  <si>
    <t>FEN</t>
  </si>
  <si>
    <t>Fendt</t>
  </si>
  <si>
    <t>LAC</t>
  </si>
  <si>
    <t>Lackenberg</t>
  </si>
  <si>
    <t>SCF</t>
  </si>
  <si>
    <t>Schechenfilz</t>
  </si>
  <si>
    <t>BER</t>
  </si>
  <si>
    <t>LAB</t>
  </si>
  <si>
    <t>Laber</t>
  </si>
  <si>
    <t>KOL</t>
  </si>
  <si>
    <t>Kolbensattel</t>
  </si>
  <si>
    <t>ACH</t>
  </si>
  <si>
    <t>Achele-Schwaig</t>
  </si>
  <si>
    <t>Verzeichnispfad Loggerdatei</t>
  </si>
  <si>
    <t>Dezimaltrennzeichen ('.' oder ',')</t>
  </si>
  <si>
    <t>Quality checked?</t>
  </si>
  <si>
    <t xml:space="preserve">Filter: Plausible Minimum = Range min </t>
  </si>
  <si>
    <t xml:space="preserve">Filter: Plausible Maximum = Range max </t>
  </si>
  <si>
    <t>Filter: NoImport min</t>
  </si>
  <si>
    <t>Filter: NoImport max</t>
  </si>
  <si>
    <t>System Missing Value (z.B. -9999, NaN, #NULL, etc.)</t>
  </si>
  <si>
    <t>benjamin.fersch@kit.edu</t>
  </si>
  <si>
    <t xml:space="preserve">Benjamin Fersch </t>
  </si>
  <si>
    <t>\\smb-a.isilona.imk-ifu.kit.edu\rawdata\berg\download\</t>
  </si>
  <si>
    <t>TD</t>
  </si>
  <si>
    <t>space</t>
  </si>
  <si>
    <t>,</t>
  </si>
  <si>
    <t>2, 3</t>
  </si>
  <si>
    <t>hh:mm:ss dd.MM.YY</t>
  </si>
  <si>
    <t>5 Minuten</t>
  </si>
  <si>
    <t>ASCII</t>
  </si>
  <si>
    <t>1/Tag</t>
  </si>
  <si>
    <t>automatisch</t>
  </si>
  <si>
    <t xml:space="preserve"> Zeitstempel</t>
  </si>
  <si>
    <t>Datumstempel</t>
  </si>
  <si>
    <t>Globalstrahlung</t>
  </si>
  <si>
    <t>Lufttemperatur</t>
  </si>
  <si>
    <t>Luftfeuchte</t>
  </si>
  <si>
    <t>NA</t>
  </si>
  <si>
    <t>Windgeschwindigkeit</t>
  </si>
  <si>
    <t>Windrichtung</t>
  </si>
  <si>
    <t>no</t>
  </si>
  <si>
    <t>&lt;0</t>
  </si>
  <si>
    <t>&gt;75</t>
  </si>
  <si>
    <t>&gt;360</t>
  </si>
  <si>
    <t>Schenk 8101 global radiometer+2m</t>
  </si>
  <si>
    <t>Rotronic Hygroclip Air Temperature Sensor+2m</t>
  </si>
  <si>
    <t>&gt;150</t>
  </si>
  <si>
    <t>Ott Pluvio2 Ombrometer+1,5m</t>
  </si>
  <si>
    <t>Vector potentiometer wind direction sensor+10m</t>
  </si>
  <si>
    <t>Vector anemometer wind speed sensor+10m</t>
  </si>
  <si>
    <t>Rotronic Hygroclip Air Humidity Sensor+2m</t>
  </si>
  <si>
    <t>Niederschlagsintentsität</t>
  </si>
  <si>
    <t>Niederschlagssumme</t>
  </si>
  <si>
    <t>PrecInt</t>
  </si>
  <si>
    <t>PrecipitationIntensity</t>
  </si>
  <si>
    <t>&gt;30</t>
  </si>
  <si>
    <t>± 0.3 K</t>
  </si>
  <si>
    <t>± 1,5 %</t>
  </si>
  <si>
    <t>± 1 %</t>
  </si>
  <si>
    <t>± 1,5 °</t>
  </si>
  <si>
    <t>± 0.1 mm</t>
  </si>
  <si>
    <t>Direktimport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</si>
</sst>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 #,##0.00\ &quot;€&quot;_-;\-* #,##0.00\ &quot;€&quot;_-;_-* &quot;-&quot;??\ &quot;€&quot;_-;_-@_-"/>
    <numFmt numFmtId="164" formatCode="_-&quot;€&quot;\ * #,##0.00_-;\-&quot;€&quot;\ * #,##0.00_-;_-&quot;€&quot;\ * &quot;-&quot;??_-;_-@_-"/>
  </numFmts>
  <fonts count="41">
    <font>
      <sz val="11"/>
      <color indexed="8"/>
      <name val="Calibri"/>
      <family val="2"/>
    </font>
    <font>
      <sz val="10"/>
      <name val="Arial"/>
    </font>
    <font>
      <b/>
      <sz val="14"/>
      <color indexed="8"/>
      <name val="Calibri"/>
      <family val="2"/>
    </font>
    <font>
      <sz val="12"/>
      <color indexed="8"/>
      <name val="Calibri"/>
      <family val="2"/>
    </font>
    <font>
      <b/>
      <sz val="12"/>
      <name val="Arial"/>
    </font>
    <font>
      <b/>
      <sz val="11"/>
      <color indexed="8"/>
      <name val="Calibri"/>
    </font>
    <font>
      <sz val="12"/>
      <color indexed="8"/>
      <name val="Arial"/>
    </font>
    <font>
      <sz val="8"/>
      <name val="Calibri"/>
      <family val="2"/>
    </font>
    <font>
      <b/>
      <sz val="12"/>
      <name val="Calibri"/>
    </font>
    <font>
      <b/>
      <sz val="11"/>
      <name val="Calibri"/>
    </font>
    <font>
      <b/>
      <sz val="16"/>
      <name val="Calibri"/>
    </font>
    <font>
      <sz val="11"/>
      <name val="Calibri"/>
    </font>
    <font>
      <sz val="12"/>
      <name val="Calibri"/>
    </font>
    <font>
      <b/>
      <u val="singleAccounting"/>
      <sz val="16"/>
      <name val="Calibri"/>
    </font>
    <font>
      <b/>
      <sz val="14"/>
      <name val="Calibri"/>
    </font>
    <font>
      <sz val="14"/>
      <color indexed="8"/>
      <name val="Calibri"/>
    </font>
    <font>
      <sz val="14"/>
      <name val="Calibri"/>
    </font>
    <font>
      <sz val="12"/>
      <color indexed="8"/>
      <name val="Calibri"/>
      <family val="2"/>
    </font>
    <font>
      <sz val="12"/>
      <color indexed="8"/>
      <name val="Calibri"/>
      <family val="2"/>
    </font>
    <font>
      <b/>
      <sz val="12"/>
      <color indexed="8"/>
      <name val="Calibri"/>
      <family val="2"/>
    </font>
    <font>
      <b/>
      <sz val="12"/>
      <color indexed="39"/>
      <name val="Calibri"/>
    </font>
    <font>
      <b/>
      <sz val="12"/>
      <color indexed="39"/>
      <name val="Calibri"/>
    </font>
    <font>
      <sz val="12"/>
      <color indexed="62"/>
      <name val="Calibri"/>
    </font>
    <font>
      <sz val="12"/>
      <color indexed="8"/>
      <name val="Calibri"/>
      <family val="2"/>
    </font>
    <font>
      <sz val="12"/>
      <name val="Calibri"/>
    </font>
    <font>
      <sz val="11"/>
      <color indexed="8"/>
      <name val="Calibri"/>
    </font>
    <font>
      <sz val="11"/>
      <color indexed="49"/>
      <name val="Calibri"/>
    </font>
    <font>
      <sz val="22"/>
      <color indexed="10"/>
      <name val="Calibri"/>
    </font>
    <font>
      <sz val="12"/>
      <color rgb="FF3F3F76"/>
      <name val="Calibri"/>
      <family val="2"/>
      <scheme val="minor"/>
    </font>
    <font>
      <sz val="12"/>
      <color rgb="FF000000"/>
      <name val="Lucida Grande"/>
    </font>
    <font>
      <sz val="12"/>
      <color rgb="FF000000"/>
      <name val="Calibri"/>
      <family val="2"/>
    </font>
    <font>
      <sz val="10"/>
      <color rgb="FF000000"/>
      <name val="Geneva"/>
    </font>
    <font>
      <b/>
      <sz val="12"/>
      <color indexed="39"/>
      <name val="Calibri"/>
      <family val="2"/>
    </font>
    <font>
      <sz val="11"/>
      <color indexed="8"/>
      <name val="Calibri"/>
      <family val="2"/>
    </font>
    <font>
      <u/>
      <sz val="11"/>
      <color theme="10"/>
      <name val="Calibri"/>
      <family val="2"/>
    </font>
    <font>
      <sz val="11"/>
      <name val="Calibri"/>
      <family val="2"/>
    </font>
    <font>
      <sz val="11"/>
      <color indexed="49"/>
      <name val="Calibri"/>
      <family val="2"/>
    </font>
    <font>
      <sz val="12"/>
      <color indexed="8"/>
      <name val="Arial"/>
      <family val="2"/>
    </font>
    <font>
      <b/>
      <sz val="11"/>
      <name val="Calibri"/>
      <family val="2"/>
    </font>
    <font>
      <b/>
      <sz val="12"/>
      <name val="Calibri"/>
      <family val="2"/>
    </font>
    <font>
      <sz val="12"/>
      <name val="Calibri"/>
      <family val="2"/>
    </font>
  </fonts>
  <fills count="6">
    <fill>
      <patternFill patternType="none"/>
    </fill>
    <fill>
      <patternFill patternType="gray125"/>
    </fill>
    <fill>
      <patternFill patternType="solid">
        <fgColor indexed="22"/>
        <bgColor indexed="64"/>
      </patternFill>
    </fill>
    <fill>
      <patternFill patternType="solid">
        <fgColor indexed="29"/>
        <bgColor indexed="64"/>
      </patternFill>
    </fill>
    <fill>
      <patternFill patternType="solid">
        <fgColor indexed="47"/>
        <bgColor indexed="64"/>
      </patternFill>
    </fill>
    <fill>
      <patternFill patternType="solid">
        <fgColor rgb="FFFFCC99"/>
      </patternFill>
    </fill>
  </fills>
  <borders count="42">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58"/>
      </left>
      <right style="thin">
        <color indexed="58"/>
      </right>
      <top style="thin">
        <color indexed="58"/>
      </top>
      <bottom style="thin">
        <color indexed="58"/>
      </bottom>
      <diagonal/>
    </border>
    <border>
      <left style="thin">
        <color indexed="58"/>
      </left>
      <right style="thin">
        <color indexed="58"/>
      </right>
      <top style="thin">
        <color indexed="58"/>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style="thin">
        <color indexed="64"/>
      </right>
      <top style="thin">
        <color indexed="64"/>
      </top>
      <bottom/>
      <diagonal/>
    </border>
    <border>
      <left/>
      <right style="thin">
        <color indexed="58"/>
      </right>
      <top style="thin">
        <color indexed="58"/>
      </top>
      <bottom style="thin">
        <color indexed="58"/>
      </bottom>
      <diagonal/>
    </border>
    <border>
      <left/>
      <right style="thin">
        <color indexed="58"/>
      </right>
      <top style="thin">
        <color indexed="58"/>
      </top>
      <bottom/>
      <diagonal/>
    </border>
    <border>
      <left style="thin">
        <color indexed="64"/>
      </left>
      <right style="thin">
        <color indexed="64"/>
      </right>
      <top/>
      <bottom style="thin">
        <color indexed="64"/>
      </bottom>
      <diagonal/>
    </border>
    <border>
      <left/>
      <right/>
      <top style="thin">
        <color indexed="64"/>
      </top>
      <bottom/>
      <diagonal/>
    </border>
    <border>
      <left/>
      <right style="thin">
        <color indexed="64"/>
      </right>
      <top/>
      <bottom/>
      <diagonal/>
    </border>
    <border>
      <left/>
      <right/>
      <top/>
      <bottom style="thin">
        <color indexed="64"/>
      </bottom>
      <diagonal/>
    </border>
    <border>
      <left style="thin">
        <color indexed="64"/>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64"/>
      </left>
      <right style="thin">
        <color indexed="22"/>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top style="thin">
        <color indexed="64"/>
      </top>
      <bottom style="thin">
        <color indexed="22"/>
      </bottom>
      <diagonal/>
    </border>
    <border>
      <left style="thin">
        <color indexed="22"/>
      </left>
      <right/>
      <top style="thin">
        <color indexed="22"/>
      </top>
      <bottom style="thin">
        <color indexed="22"/>
      </bottom>
      <diagonal/>
    </border>
    <border>
      <left style="thin">
        <color indexed="22"/>
      </left>
      <right/>
      <top style="thin">
        <color indexed="22"/>
      </top>
      <bottom style="thin">
        <color indexed="64"/>
      </bottom>
      <diagonal/>
    </border>
    <border>
      <left style="thin">
        <color indexed="64"/>
      </left>
      <right style="thin">
        <color indexed="64"/>
      </right>
      <top style="thin">
        <color indexed="64"/>
      </top>
      <bottom style="thin">
        <color indexed="22"/>
      </bottom>
      <diagonal/>
    </border>
    <border>
      <left style="thin">
        <color indexed="64"/>
      </left>
      <right style="thin">
        <color indexed="64"/>
      </right>
      <top style="thin">
        <color indexed="22"/>
      </top>
      <bottom style="thin">
        <color indexed="22"/>
      </bottom>
      <diagonal/>
    </border>
    <border>
      <left style="thin">
        <color indexed="64"/>
      </left>
      <right style="thin">
        <color indexed="64"/>
      </right>
      <top style="thin">
        <color indexed="22"/>
      </top>
      <bottom style="thin">
        <color indexed="64"/>
      </bottom>
      <diagonal/>
    </border>
    <border>
      <left style="thin">
        <color indexed="22"/>
      </left>
      <right style="thin">
        <color indexed="64"/>
      </right>
      <top style="thin">
        <color indexed="64"/>
      </top>
      <bottom style="thin">
        <color indexed="22"/>
      </bottom>
      <diagonal/>
    </border>
    <border>
      <left style="thin">
        <color indexed="22"/>
      </left>
      <right style="thin">
        <color indexed="64"/>
      </right>
      <top style="thin">
        <color indexed="22"/>
      </top>
      <bottom style="thin">
        <color indexed="22"/>
      </bottom>
      <diagonal/>
    </border>
    <border>
      <left style="thin">
        <color indexed="22"/>
      </left>
      <right style="thin">
        <color indexed="64"/>
      </right>
      <top style="thin">
        <color indexed="22"/>
      </top>
      <bottom style="thin">
        <color indexed="64"/>
      </bottom>
      <diagonal/>
    </border>
    <border>
      <left/>
      <right style="thin">
        <color indexed="64"/>
      </right>
      <top style="thin">
        <color indexed="64"/>
      </top>
      <bottom style="thin">
        <color indexed="22"/>
      </bottom>
      <diagonal/>
    </border>
    <border>
      <left/>
      <right style="thin">
        <color indexed="64"/>
      </right>
      <top style="thin">
        <color indexed="22"/>
      </top>
      <bottom style="thin">
        <color indexed="22"/>
      </bottom>
      <diagonal/>
    </border>
    <border>
      <left/>
      <right style="thin">
        <color indexed="64"/>
      </right>
      <top style="thin">
        <color indexed="22"/>
      </top>
      <bottom style="thin">
        <color indexed="64"/>
      </bottom>
      <diagonal/>
    </border>
    <border>
      <left style="thin">
        <color indexed="64"/>
      </left>
      <right style="thin">
        <color indexed="22"/>
      </right>
      <top/>
      <bottom style="thin">
        <color indexed="64"/>
      </bottom>
      <diagonal/>
    </border>
    <border>
      <left style="thin">
        <color indexed="22"/>
      </left>
      <right style="thin">
        <color indexed="22"/>
      </right>
      <top/>
      <bottom style="thin">
        <color indexed="64"/>
      </bottom>
      <diagonal/>
    </border>
    <border>
      <left style="thin">
        <color indexed="22"/>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s>
  <cellStyleXfs count="4">
    <xf numFmtId="0" fontId="0" fillId="0" borderId="0"/>
    <xf numFmtId="0" fontId="28" fillId="5" borderId="41" applyNumberFormat="0" applyAlignment="0" applyProtection="0"/>
    <xf numFmtId="44" fontId="1" fillId="0" borderId="0" applyFill="0" applyBorder="0" applyAlignment="0" applyProtection="0"/>
    <xf numFmtId="0" fontId="34" fillId="0" borderId="0" applyNumberFormat="0" applyFill="0" applyBorder="0" applyAlignment="0" applyProtection="0"/>
  </cellStyleXfs>
  <cellXfs count="230">
    <xf numFmtId="0" fontId="0" fillId="0" borderId="0" xfId="0"/>
    <xf numFmtId="0" fontId="0" fillId="0" borderId="0" xfId="0" applyProtection="1"/>
    <xf numFmtId="0" fontId="17" fillId="0" borderId="0" xfId="0" applyFont="1" applyAlignment="1">
      <alignment wrapText="1"/>
    </xf>
    <xf numFmtId="164" fontId="17" fillId="0" borderId="2" xfId="0" applyNumberFormat="1" applyFont="1" applyBorder="1" applyAlignment="1">
      <alignment wrapText="1"/>
    </xf>
    <xf numFmtId="0" fontId="17" fillId="0" borderId="0" xfId="0" applyFont="1" applyFill="1" applyAlignment="1" applyProtection="1">
      <alignment horizontal="center" vertical="center" wrapText="1"/>
    </xf>
    <xf numFmtId="0" fontId="2" fillId="2" borderId="3" xfId="0" applyFont="1" applyFill="1" applyBorder="1" applyAlignment="1" applyProtection="1">
      <alignment horizontal="center" vertical="center" wrapText="1"/>
    </xf>
    <xf numFmtId="44" fontId="4" fillId="2" borderId="2" xfId="2" applyFont="1" applyFill="1" applyBorder="1" applyAlignment="1" applyProtection="1">
      <alignment horizontal="center" vertical="center" wrapText="1"/>
    </xf>
    <xf numFmtId="0" fontId="3" fillId="0" borderId="0" xfId="0" applyFont="1" applyAlignment="1" applyProtection="1">
      <alignment horizontal="left" vertical="center"/>
    </xf>
    <xf numFmtId="0" fontId="17" fillId="0" borderId="0" xfId="0" applyFont="1" applyAlignment="1" applyProtection="1">
      <alignment horizontal="center" vertical="center" wrapText="1"/>
    </xf>
    <xf numFmtId="0" fontId="0" fillId="0" borderId="0" xfId="0" applyAlignment="1">
      <alignment vertical="center"/>
    </xf>
    <xf numFmtId="0" fontId="5" fillId="2" borderId="4" xfId="0" applyFont="1" applyFill="1" applyBorder="1" applyAlignment="1" applyProtection="1">
      <alignment horizontal="center" vertical="center" wrapText="1"/>
    </xf>
    <xf numFmtId="0" fontId="2" fillId="2" borderId="2" xfId="0" applyFont="1" applyFill="1" applyBorder="1" applyAlignment="1" applyProtection="1">
      <alignment horizontal="center" vertical="center" wrapText="1"/>
    </xf>
    <xf numFmtId="0" fontId="0" fillId="0" borderId="0" xfId="0" applyFill="1"/>
    <xf numFmtId="0" fontId="0" fillId="0" borderId="0" xfId="0" applyAlignment="1">
      <alignment wrapText="1"/>
    </xf>
    <xf numFmtId="164" fontId="17" fillId="0" borderId="0" xfId="0" applyNumberFormat="1" applyFont="1" applyBorder="1" applyAlignment="1">
      <alignment wrapText="1"/>
    </xf>
    <xf numFmtId="0" fontId="18" fillId="0" borderId="0" xfId="0" applyFont="1" applyAlignment="1">
      <alignment wrapText="1"/>
    </xf>
    <xf numFmtId="164" fontId="19" fillId="0" borderId="2" xfId="0" applyNumberFormat="1" applyFont="1" applyBorder="1" applyAlignment="1">
      <alignment vertical="center" wrapText="1"/>
    </xf>
    <xf numFmtId="0" fontId="6" fillId="0" borderId="0" xfId="0" applyFont="1" applyAlignment="1">
      <alignment horizontal="justify" vertical="center"/>
    </xf>
    <xf numFmtId="0" fontId="17" fillId="0" borderId="0" xfId="0" applyFont="1" applyAlignment="1">
      <alignment horizontal="center" vertical="center" wrapText="1"/>
    </xf>
    <xf numFmtId="0" fontId="17" fillId="0" borderId="5" xfId="0" applyFont="1" applyBorder="1" applyAlignment="1">
      <alignment wrapText="1"/>
    </xf>
    <xf numFmtId="164" fontId="19" fillId="0" borderId="6" xfId="0" applyNumberFormat="1" applyFont="1" applyBorder="1" applyAlignment="1">
      <alignment vertical="center" wrapText="1"/>
    </xf>
    <xf numFmtId="164" fontId="19" fillId="0" borderId="7" xfId="0" applyNumberFormat="1" applyFont="1" applyBorder="1" applyAlignment="1">
      <alignment vertical="center" wrapText="1"/>
    </xf>
    <xf numFmtId="164" fontId="19" fillId="0" borderId="8" xfId="0" applyNumberFormat="1" applyFont="1" applyBorder="1" applyAlignment="1">
      <alignment vertical="center" wrapText="1"/>
    </xf>
    <xf numFmtId="164" fontId="19" fillId="0" borderId="9" xfId="0" applyNumberFormat="1" applyFont="1" applyBorder="1" applyAlignment="1">
      <alignment vertical="top" wrapText="1"/>
    </xf>
    <xf numFmtId="0" fontId="19" fillId="0" borderId="10" xfId="0" applyFont="1" applyBorder="1" applyAlignment="1">
      <alignment horizontal="center" vertical="center" wrapText="1"/>
    </xf>
    <xf numFmtId="0" fontId="19" fillId="0" borderId="5" xfId="0" applyFont="1" applyBorder="1" applyAlignment="1">
      <alignment horizontal="center" vertical="center" wrapText="1"/>
    </xf>
    <xf numFmtId="0" fontId="2" fillId="2" borderId="11" xfId="0" applyFont="1" applyFill="1" applyBorder="1" applyAlignment="1" applyProtection="1">
      <alignment horizontal="center" vertical="center" wrapText="1"/>
    </xf>
    <xf numFmtId="0" fontId="5" fillId="2" borderId="12" xfId="0" applyFont="1" applyFill="1" applyBorder="1" applyAlignment="1" applyProtection="1">
      <alignment horizontal="center" vertical="center" wrapText="1"/>
    </xf>
    <xf numFmtId="0" fontId="21" fillId="3" borderId="2" xfId="0" applyFont="1" applyFill="1" applyBorder="1" applyAlignment="1" applyProtection="1">
      <alignment horizontal="center" vertical="center"/>
      <protection locked="0"/>
    </xf>
    <xf numFmtId="0" fontId="21" fillId="3" borderId="2" xfId="0" applyFont="1" applyFill="1" applyBorder="1" applyAlignment="1" applyProtection="1">
      <alignment horizontal="center" vertical="center" wrapText="1"/>
      <protection locked="0"/>
    </xf>
    <xf numFmtId="0" fontId="9" fillId="0" borderId="0" xfId="0" applyFont="1" applyFill="1" applyAlignment="1">
      <alignment vertical="center"/>
    </xf>
    <xf numFmtId="0" fontId="8" fillId="0" borderId="0" xfId="0" applyFont="1" applyAlignment="1">
      <alignment vertical="center"/>
    </xf>
    <xf numFmtId="0" fontId="8" fillId="5" borderId="9" xfId="1" applyFont="1" applyBorder="1" applyAlignment="1">
      <alignment horizontal="center" vertical="center"/>
    </xf>
    <xf numFmtId="0" fontId="8" fillId="5" borderId="7" xfId="1" applyFont="1" applyBorder="1" applyAlignment="1">
      <alignment horizontal="center" vertical="center"/>
    </xf>
    <xf numFmtId="0" fontId="21" fillId="3" borderId="13" xfId="0" applyFont="1" applyFill="1" applyBorder="1" applyAlignment="1" applyProtection="1">
      <alignment horizontal="center" vertical="center"/>
      <protection locked="0"/>
    </xf>
    <xf numFmtId="0" fontId="21" fillId="3" borderId="13" xfId="0" applyFont="1" applyFill="1" applyBorder="1" applyAlignment="1" applyProtection="1">
      <alignment horizontal="center" vertical="center" wrapText="1"/>
      <protection locked="0"/>
    </xf>
    <xf numFmtId="0" fontId="22" fillId="4" borderId="13" xfId="0" applyFont="1" applyFill="1" applyBorder="1" applyAlignment="1">
      <alignment horizontal="center" vertical="center"/>
    </xf>
    <xf numFmtId="0" fontId="23" fillId="4" borderId="0" xfId="0" applyFont="1" applyFill="1" applyBorder="1" applyAlignment="1" applyProtection="1">
      <alignment horizontal="center" vertical="center"/>
    </xf>
    <xf numFmtId="0" fontId="23" fillId="4" borderId="0" xfId="0" applyFont="1" applyFill="1" applyBorder="1" applyAlignment="1">
      <alignment horizontal="center" vertical="center"/>
    </xf>
    <xf numFmtId="0" fontId="23" fillId="4" borderId="0" xfId="0" applyFont="1" applyFill="1" applyBorder="1" applyAlignment="1">
      <alignment horizontal="center" vertical="center" wrapText="1"/>
    </xf>
    <xf numFmtId="0" fontId="23" fillId="4" borderId="14" xfId="0" applyFont="1" applyFill="1" applyBorder="1" applyAlignment="1" applyProtection="1">
      <alignment horizontal="center" vertical="center"/>
    </xf>
    <xf numFmtId="0" fontId="23" fillId="4" borderId="14" xfId="0" applyFont="1" applyFill="1" applyBorder="1" applyAlignment="1">
      <alignment horizontal="center" vertical="center"/>
    </xf>
    <xf numFmtId="0" fontId="23" fillId="4" borderId="14" xfId="0" applyFont="1" applyFill="1" applyBorder="1" applyAlignment="1">
      <alignment horizontal="center" vertical="center" wrapText="1"/>
    </xf>
    <xf numFmtId="0" fontId="22" fillId="4" borderId="10" xfId="0" applyFont="1" applyFill="1" applyBorder="1" applyAlignment="1">
      <alignment horizontal="center" vertical="center"/>
    </xf>
    <xf numFmtId="0" fontId="22" fillId="4" borderId="15" xfId="0" applyFont="1" applyFill="1" applyBorder="1" applyAlignment="1">
      <alignment horizontal="center" vertical="center"/>
    </xf>
    <xf numFmtId="0" fontId="23" fillId="4" borderId="16" xfId="0" applyFont="1" applyFill="1" applyBorder="1" applyAlignment="1" applyProtection="1">
      <alignment horizontal="center" vertical="center"/>
    </xf>
    <xf numFmtId="0" fontId="23" fillId="4" borderId="16" xfId="0" applyFont="1" applyFill="1" applyBorder="1" applyAlignment="1">
      <alignment horizontal="center" vertical="center"/>
    </xf>
    <xf numFmtId="0" fontId="23" fillId="4" borderId="16" xfId="0" applyFont="1" applyFill="1" applyBorder="1" applyAlignment="1">
      <alignment horizontal="center" vertical="center" wrapText="1"/>
    </xf>
    <xf numFmtId="0" fontId="22" fillId="4" borderId="5" xfId="0" applyFont="1" applyFill="1" applyBorder="1" applyAlignment="1">
      <alignment horizontal="center" vertical="center"/>
    </xf>
    <xf numFmtId="0" fontId="8" fillId="5" borderId="0" xfId="1" applyFont="1" applyBorder="1" applyAlignment="1">
      <alignment horizontal="left" vertical="center"/>
    </xf>
    <xf numFmtId="0" fontId="8" fillId="5" borderId="15" xfId="1" applyFont="1" applyBorder="1" applyAlignment="1">
      <alignment horizontal="left" vertical="center"/>
    </xf>
    <xf numFmtId="0" fontId="8" fillId="5" borderId="16" xfId="1" applyFont="1" applyBorder="1" applyAlignment="1">
      <alignment horizontal="left" vertical="center"/>
    </xf>
    <xf numFmtId="0" fontId="8" fillId="5" borderId="5" xfId="1" applyFont="1" applyBorder="1" applyAlignment="1">
      <alignment horizontal="left" vertical="center"/>
    </xf>
    <xf numFmtId="0" fontId="8" fillId="5" borderId="0" xfId="1" applyFont="1" applyBorder="1" applyAlignment="1">
      <alignment vertical="center"/>
    </xf>
    <xf numFmtId="0" fontId="8" fillId="5" borderId="9" xfId="1" applyFont="1" applyBorder="1" applyAlignment="1">
      <alignment horizontal="left" vertical="center"/>
    </xf>
    <xf numFmtId="44" fontId="4" fillId="2" borderId="6" xfId="2" applyFont="1" applyFill="1" applyBorder="1" applyAlignment="1" applyProtection="1">
      <alignment horizontal="center" vertical="center" wrapText="1"/>
    </xf>
    <xf numFmtId="0" fontId="24" fillId="0" borderId="0" xfId="0" applyFont="1" applyAlignment="1" applyProtection="1">
      <alignment horizontal="center" vertical="center" wrapText="1"/>
    </xf>
    <xf numFmtId="0" fontId="25" fillId="4" borderId="1" xfId="0" applyFont="1" applyFill="1" applyBorder="1" applyAlignment="1">
      <alignment horizontal="center" vertical="center"/>
    </xf>
    <xf numFmtId="0" fontId="25" fillId="4" borderId="1" xfId="0" applyFont="1" applyFill="1" applyBorder="1" applyAlignment="1">
      <alignment horizontal="center" vertical="center" wrapText="1"/>
    </xf>
    <xf numFmtId="0" fontId="11" fillId="4" borderId="1" xfId="0" applyFont="1" applyFill="1" applyBorder="1" applyAlignment="1">
      <alignment horizontal="center" vertical="center"/>
    </xf>
    <xf numFmtId="0" fontId="8" fillId="5" borderId="9" xfId="1" applyFont="1" applyBorder="1" applyAlignment="1">
      <alignment vertical="center"/>
    </xf>
    <xf numFmtId="2" fontId="25" fillId="4" borderId="19" xfId="0" applyNumberFormat="1" applyFont="1" applyFill="1" applyBorder="1" applyAlignment="1">
      <alignment horizontal="center" vertical="center"/>
    </xf>
    <xf numFmtId="2" fontId="23" fillId="4" borderId="1" xfId="0" applyNumberFormat="1" applyFont="1" applyFill="1" applyBorder="1" applyAlignment="1">
      <alignment horizontal="center" vertical="center" wrapText="1"/>
    </xf>
    <xf numFmtId="2" fontId="23" fillId="4" borderId="17" xfId="0" applyNumberFormat="1" applyFont="1" applyFill="1" applyBorder="1" applyAlignment="1">
      <alignment horizontal="center" vertical="center" wrapText="1"/>
    </xf>
    <xf numFmtId="2" fontId="23" fillId="4" borderId="18" xfId="0" applyNumberFormat="1" applyFont="1" applyFill="1" applyBorder="1" applyAlignment="1">
      <alignment horizontal="center" vertical="center" wrapText="1"/>
    </xf>
    <xf numFmtId="2" fontId="23" fillId="4" borderId="19" xfId="0" applyNumberFormat="1" applyFont="1" applyFill="1" applyBorder="1" applyAlignment="1">
      <alignment horizontal="center" vertical="center" wrapText="1"/>
    </xf>
    <xf numFmtId="2" fontId="23" fillId="4" borderId="20" xfId="0" applyNumberFormat="1" applyFont="1" applyFill="1" applyBorder="1" applyAlignment="1">
      <alignment horizontal="center" vertical="center" wrapText="1"/>
    </xf>
    <xf numFmtId="2" fontId="23" fillId="4" borderId="21" xfId="0" applyNumberFormat="1" applyFont="1" applyFill="1" applyBorder="1" applyAlignment="1">
      <alignment horizontal="center" vertical="center" wrapText="1"/>
    </xf>
    <xf numFmtId="164" fontId="10" fillId="5" borderId="9" xfId="1" applyNumberFormat="1" applyFont="1" applyBorder="1" applyAlignment="1">
      <alignment vertical="center" wrapText="1"/>
    </xf>
    <xf numFmtId="164" fontId="10" fillId="5" borderId="0" xfId="1" applyNumberFormat="1" applyFont="1" applyBorder="1" applyAlignment="1">
      <alignment vertical="center" wrapText="1"/>
    </xf>
    <xf numFmtId="0" fontId="8" fillId="5" borderId="7" xfId="1" applyFont="1" applyBorder="1" applyAlignment="1">
      <alignment vertical="center"/>
    </xf>
    <xf numFmtId="0" fontId="8" fillId="5" borderId="16" xfId="1" applyFont="1" applyBorder="1" applyAlignment="1">
      <alignment vertical="center"/>
    </xf>
    <xf numFmtId="2" fontId="23" fillId="4" borderId="22" xfId="0" applyNumberFormat="1" applyFont="1" applyFill="1" applyBorder="1" applyAlignment="1">
      <alignment horizontal="center" vertical="center" wrapText="1"/>
    </xf>
    <xf numFmtId="2" fontId="23" fillId="4" borderId="23" xfId="0" applyNumberFormat="1" applyFont="1" applyFill="1" applyBorder="1" applyAlignment="1">
      <alignment horizontal="center" vertical="center" wrapText="1"/>
    </xf>
    <xf numFmtId="2" fontId="23" fillId="4" borderId="24" xfId="0" applyNumberFormat="1" applyFont="1" applyFill="1" applyBorder="1" applyAlignment="1">
      <alignment horizontal="center" vertical="center" wrapText="1"/>
    </xf>
    <xf numFmtId="0" fontId="21" fillId="3" borderId="25" xfId="0" applyFont="1" applyFill="1" applyBorder="1" applyAlignment="1" applyProtection="1">
      <alignment horizontal="center" vertical="center" wrapText="1"/>
      <protection locked="0"/>
    </xf>
    <xf numFmtId="0" fontId="21" fillId="3" borderId="26" xfId="0" applyFont="1" applyFill="1" applyBorder="1" applyAlignment="1" applyProtection="1">
      <alignment horizontal="center" vertical="center" wrapText="1"/>
      <protection locked="0"/>
    </xf>
    <xf numFmtId="0" fontId="21" fillId="3" borderId="27" xfId="0" applyFont="1" applyFill="1" applyBorder="1" applyAlignment="1" applyProtection="1">
      <alignment horizontal="center" vertical="center" wrapText="1"/>
      <protection locked="0"/>
    </xf>
    <xf numFmtId="0" fontId="21" fillId="3" borderId="28" xfId="0" applyFont="1" applyFill="1" applyBorder="1" applyAlignment="1" applyProtection="1">
      <alignment horizontal="center" vertical="center" wrapText="1"/>
      <protection locked="0"/>
    </xf>
    <xf numFmtId="0" fontId="21" fillId="3" borderId="29" xfId="0" applyFont="1" applyFill="1" applyBorder="1" applyAlignment="1" applyProtection="1">
      <alignment horizontal="center" vertical="center" wrapText="1"/>
      <protection locked="0"/>
    </xf>
    <xf numFmtId="0" fontId="21" fillId="3" borderId="30" xfId="0" applyFont="1" applyFill="1" applyBorder="1" applyAlignment="1" applyProtection="1">
      <alignment horizontal="center" vertical="center" wrapText="1"/>
      <protection locked="0"/>
    </xf>
    <xf numFmtId="0" fontId="17" fillId="0" borderId="0" xfId="0" applyFont="1" applyAlignment="1" applyProtection="1">
      <alignment horizontal="left" vertical="center" wrapText="1"/>
    </xf>
    <xf numFmtId="0" fontId="21" fillId="3" borderId="31" xfId="0" applyFont="1" applyFill="1" applyBorder="1" applyAlignment="1" applyProtection="1">
      <alignment horizontal="center" vertical="center" wrapText="1"/>
      <protection locked="0"/>
    </xf>
    <xf numFmtId="0" fontId="21" fillId="3" borderId="32" xfId="0" applyFont="1" applyFill="1" applyBorder="1" applyAlignment="1" applyProtection="1">
      <alignment horizontal="center" vertical="center" wrapText="1"/>
      <protection locked="0"/>
    </xf>
    <xf numFmtId="0" fontId="26" fillId="4" borderId="1" xfId="0" applyFont="1" applyFill="1" applyBorder="1" applyAlignment="1">
      <alignment horizontal="center" vertical="center" wrapText="1"/>
    </xf>
    <xf numFmtId="0" fontId="25" fillId="4" borderId="19" xfId="0" applyFont="1" applyFill="1" applyBorder="1" applyAlignment="1" applyProtection="1">
      <alignment horizontal="center" vertical="center"/>
    </xf>
    <xf numFmtId="0" fontId="21" fillId="3" borderId="33" xfId="0" applyFont="1" applyFill="1" applyBorder="1" applyAlignment="1" applyProtection="1">
      <alignment horizontal="center" vertical="center" wrapText="1"/>
      <protection locked="0"/>
    </xf>
    <xf numFmtId="2" fontId="23" fillId="4" borderId="34" xfId="0" applyNumberFormat="1" applyFont="1" applyFill="1" applyBorder="1" applyAlignment="1">
      <alignment horizontal="center" vertical="center" wrapText="1"/>
    </xf>
    <xf numFmtId="2" fontId="23" fillId="4" borderId="35" xfId="0" applyNumberFormat="1" applyFont="1" applyFill="1" applyBorder="1" applyAlignment="1">
      <alignment horizontal="center" vertical="center" wrapText="1"/>
    </xf>
    <xf numFmtId="0" fontId="21" fillId="3" borderId="36" xfId="0" applyFont="1" applyFill="1" applyBorder="1" applyAlignment="1" applyProtection="1">
      <alignment horizontal="center" vertical="center" wrapText="1"/>
      <protection locked="0"/>
    </xf>
    <xf numFmtId="164" fontId="10" fillId="5" borderId="9" xfId="1" applyNumberFormat="1" applyFont="1" applyBorder="1" applyAlignment="1">
      <alignment horizontal="left" vertical="center" wrapText="1"/>
    </xf>
    <xf numFmtId="164" fontId="10" fillId="5" borderId="0" xfId="1" applyNumberFormat="1" applyFont="1" applyBorder="1" applyAlignment="1">
      <alignment horizontal="left" vertical="center" wrapText="1"/>
    </xf>
    <xf numFmtId="0" fontId="6" fillId="0" borderId="0" xfId="0" applyFont="1" applyAlignment="1">
      <alignment vertical="center"/>
    </xf>
    <xf numFmtId="164" fontId="19" fillId="0" borderId="0" xfId="0" applyNumberFormat="1" applyFont="1" applyBorder="1" applyAlignment="1">
      <alignment horizontal="left" vertical="center" wrapText="1"/>
    </xf>
    <xf numFmtId="164" fontId="19" fillId="0" borderId="37" xfId="0" applyNumberFormat="1" applyFont="1" applyBorder="1" applyAlignment="1">
      <alignment horizontal="left" vertical="center" wrapText="1"/>
    </xf>
    <xf numFmtId="164" fontId="19" fillId="0" borderId="38" xfId="0" applyNumberFormat="1" applyFont="1" applyBorder="1" applyAlignment="1">
      <alignment horizontal="left" vertical="center" wrapText="1"/>
    </xf>
    <xf numFmtId="0" fontId="2" fillId="2" borderId="8" xfId="0" applyFont="1" applyFill="1" applyBorder="1" applyAlignment="1" applyProtection="1">
      <alignment vertical="center" wrapText="1"/>
    </xf>
    <xf numFmtId="0" fontId="2" fillId="2" borderId="8" xfId="0" applyFont="1" applyFill="1" applyBorder="1" applyAlignment="1" applyProtection="1">
      <alignment horizontal="center" vertical="center" wrapText="1"/>
    </xf>
    <xf numFmtId="0" fontId="2" fillId="2" borderId="12" xfId="0" applyFont="1" applyFill="1" applyBorder="1" applyAlignment="1" applyProtection="1">
      <alignment horizontal="center" vertical="center" wrapText="1"/>
    </xf>
    <xf numFmtId="0" fontId="2" fillId="2" borderId="4" xfId="0" applyFont="1" applyFill="1" applyBorder="1" applyAlignment="1" applyProtection="1">
      <alignment horizontal="center" vertical="center" wrapText="1"/>
    </xf>
    <xf numFmtId="0" fontId="12" fillId="4" borderId="0" xfId="0" applyNumberFormat="1" applyFont="1" applyFill="1" applyBorder="1" applyAlignment="1">
      <alignment horizontal="center" vertical="center"/>
    </xf>
    <xf numFmtId="0" fontId="8" fillId="4" borderId="8" xfId="0" applyNumberFormat="1" applyFont="1" applyFill="1" applyBorder="1" applyAlignment="1">
      <alignment horizontal="center" vertical="center"/>
    </xf>
    <xf numFmtId="0" fontId="12" fillId="4" borderId="14" xfId="0" applyNumberFormat="1" applyFont="1" applyFill="1" applyBorder="1" applyAlignment="1">
      <alignment horizontal="center" vertical="center"/>
    </xf>
    <xf numFmtId="0" fontId="12" fillId="4" borderId="10" xfId="0" applyNumberFormat="1" applyFont="1" applyFill="1" applyBorder="1" applyAlignment="1">
      <alignment horizontal="center" vertical="center" wrapText="1"/>
    </xf>
    <xf numFmtId="0" fontId="8" fillId="4" borderId="9" xfId="0" applyNumberFormat="1" applyFont="1" applyFill="1" applyBorder="1" applyAlignment="1">
      <alignment horizontal="center" vertical="center"/>
    </xf>
    <xf numFmtId="0" fontId="12" fillId="4" borderId="15" xfId="0" applyNumberFormat="1" applyFont="1" applyFill="1" applyBorder="1" applyAlignment="1">
      <alignment horizontal="center" vertical="center" wrapText="1"/>
    </xf>
    <xf numFmtId="0" fontId="8" fillId="4" borderId="7" xfId="0" applyNumberFormat="1" applyFont="1" applyFill="1" applyBorder="1" applyAlignment="1">
      <alignment horizontal="center" vertical="center"/>
    </xf>
    <xf numFmtId="0" fontId="12" fillId="4" borderId="16" xfId="0" applyNumberFormat="1" applyFont="1" applyFill="1" applyBorder="1" applyAlignment="1">
      <alignment horizontal="center" vertical="center"/>
    </xf>
    <xf numFmtId="0" fontId="12" fillId="4" borderId="5" xfId="0" applyNumberFormat="1" applyFont="1" applyFill="1" applyBorder="1" applyAlignment="1">
      <alignment horizontal="center" vertical="center" wrapText="1"/>
    </xf>
    <xf numFmtId="0" fontId="21" fillId="3" borderId="39" xfId="0" applyFont="1" applyFill="1" applyBorder="1" applyAlignment="1" applyProtection="1">
      <alignment vertical="center" wrapText="1"/>
      <protection locked="0"/>
    </xf>
    <xf numFmtId="0" fontId="21" fillId="3" borderId="2" xfId="0" applyFont="1" applyFill="1" applyBorder="1" applyAlignment="1" applyProtection="1">
      <alignment vertical="center" wrapText="1"/>
      <protection locked="0"/>
    </xf>
    <xf numFmtId="0" fontId="14" fillId="5" borderId="9" xfId="1" applyFont="1" applyBorder="1" applyAlignment="1">
      <alignment horizontal="center" vertical="center"/>
    </xf>
    <xf numFmtId="0" fontId="14" fillId="5" borderId="0" xfId="1" applyFont="1" applyBorder="1" applyAlignment="1">
      <alignment horizontal="left" vertical="center"/>
    </xf>
    <xf numFmtId="0" fontId="14" fillId="5" borderId="15" xfId="1" applyFont="1" applyBorder="1" applyAlignment="1">
      <alignment horizontal="left" vertical="center"/>
    </xf>
    <xf numFmtId="0" fontId="14" fillId="5" borderId="0" xfId="1" applyFont="1" applyBorder="1" applyAlignment="1">
      <alignment vertical="center"/>
    </xf>
    <xf numFmtId="164" fontId="13" fillId="5" borderId="8" xfId="1" applyNumberFormat="1" applyFont="1" applyBorder="1" applyAlignment="1">
      <alignment vertical="center" wrapText="1"/>
    </xf>
    <xf numFmtId="164" fontId="13" fillId="5" borderId="14" xfId="1" applyNumberFormat="1" applyFont="1" applyBorder="1" applyAlignment="1">
      <alignment vertical="center" wrapText="1"/>
    </xf>
    <xf numFmtId="0" fontId="14" fillId="0" borderId="0" xfId="1" applyFont="1" applyFill="1" applyBorder="1" applyAlignment="1">
      <alignment horizontal="center" vertical="center"/>
    </xf>
    <xf numFmtId="0" fontId="0" fillId="0" borderId="0" xfId="0" applyFill="1" applyBorder="1"/>
    <xf numFmtId="0" fontId="13" fillId="0" borderId="0" xfId="0" applyFont="1" applyFill="1" applyBorder="1" applyAlignment="1" applyProtection="1">
      <alignment horizontal="center" vertical="top" wrapText="1"/>
    </xf>
    <xf numFmtId="0" fontId="15" fillId="0" borderId="0" xfId="0" applyFont="1" applyFill="1" applyBorder="1"/>
    <xf numFmtId="0" fontId="16" fillId="0" borderId="0" xfId="0" applyFont="1" applyFill="1" applyBorder="1"/>
    <xf numFmtId="164" fontId="13" fillId="0" borderId="0" xfId="1" applyNumberFormat="1" applyFont="1" applyFill="1" applyBorder="1" applyAlignment="1">
      <alignment vertical="center" wrapText="1"/>
    </xf>
    <xf numFmtId="0" fontId="14" fillId="0" borderId="0" xfId="1" applyFont="1" applyFill="1" applyBorder="1" applyAlignment="1">
      <alignment vertical="center"/>
    </xf>
    <xf numFmtId="164" fontId="13" fillId="5" borderId="10" xfId="1" applyNumberFormat="1" applyFont="1" applyBorder="1" applyAlignment="1">
      <alignment vertical="center" wrapText="1"/>
    </xf>
    <xf numFmtId="0" fontId="14" fillId="5" borderId="9" xfId="1" applyFont="1" applyBorder="1" applyAlignment="1">
      <alignment horizontal="left" vertical="center"/>
    </xf>
    <xf numFmtId="0" fontId="14" fillId="5" borderId="15" xfId="1" applyFont="1" applyBorder="1" applyAlignment="1">
      <alignment vertical="center"/>
    </xf>
    <xf numFmtId="0" fontId="14" fillId="5" borderId="7" xfId="1" applyFont="1" applyBorder="1" applyAlignment="1">
      <alignment horizontal="center" vertical="center"/>
    </xf>
    <xf numFmtId="0" fontId="14" fillId="5" borderId="16" xfId="1" applyFont="1" applyBorder="1" applyAlignment="1">
      <alignment vertical="center"/>
    </xf>
    <xf numFmtId="0" fontId="14" fillId="5" borderId="5" xfId="1" applyFont="1" applyBorder="1" applyAlignment="1">
      <alignment vertical="center"/>
    </xf>
    <xf numFmtId="0" fontId="17" fillId="0" borderId="0" xfId="0" applyFont="1" applyAlignment="1" applyProtection="1">
      <alignment wrapText="1"/>
      <protection locked="0"/>
    </xf>
    <xf numFmtId="0" fontId="18" fillId="0" borderId="0" xfId="0" applyFont="1" applyAlignment="1" applyProtection="1">
      <alignment wrapText="1"/>
      <protection locked="0"/>
    </xf>
    <xf numFmtId="0" fontId="21" fillId="3" borderId="7" xfId="0" applyFont="1" applyFill="1" applyBorder="1" applyAlignment="1" applyProtection="1">
      <alignment horizontal="center" vertical="center" wrapText="1"/>
      <protection locked="0"/>
    </xf>
    <xf numFmtId="0" fontId="21" fillId="3" borderId="5" xfId="0" applyFont="1" applyFill="1" applyBorder="1" applyAlignment="1" applyProtection="1">
      <alignment horizontal="center" vertical="center" wrapText="1"/>
      <protection locked="0"/>
    </xf>
    <xf numFmtId="2" fontId="23" fillId="4" borderId="14" xfId="0" applyNumberFormat="1" applyFont="1" applyFill="1" applyBorder="1" applyAlignment="1">
      <alignment horizontal="center" vertical="center"/>
    </xf>
    <xf numFmtId="0" fontId="32" fillId="3" borderId="2" xfId="0" applyFont="1" applyFill="1" applyBorder="1" applyAlignment="1" applyProtection="1">
      <alignment horizontal="center" vertical="center" wrapText="1"/>
      <protection locked="0"/>
    </xf>
    <xf numFmtId="2" fontId="0" fillId="4" borderId="19" xfId="0" applyNumberFormat="1" applyFont="1" applyFill="1" applyBorder="1" applyAlignment="1">
      <alignment horizontal="center" vertical="center"/>
    </xf>
    <xf numFmtId="0" fontId="0" fillId="4" borderId="1" xfId="0" applyFont="1" applyFill="1" applyBorder="1" applyAlignment="1">
      <alignment horizontal="center" vertical="center" wrapText="1"/>
    </xf>
    <xf numFmtId="0" fontId="34" fillId="3" borderId="2" xfId="3" applyFill="1" applyBorder="1" applyAlignment="1" applyProtection="1">
      <alignment horizontal="center" vertical="center" wrapText="1"/>
      <protection locked="0"/>
    </xf>
    <xf numFmtId="2" fontId="3" fillId="4" borderId="14" xfId="0" applyNumberFormat="1" applyFont="1" applyFill="1" applyBorder="1" applyAlignment="1">
      <alignment horizontal="center" vertical="center"/>
    </xf>
    <xf numFmtId="2" fontId="33" fillId="4" borderId="17" xfId="0" applyNumberFormat="1" applyFont="1" applyFill="1" applyBorder="1" applyAlignment="1">
      <alignment horizontal="center" vertical="center"/>
    </xf>
    <xf numFmtId="0" fontId="33" fillId="4" borderId="17" xfId="0" applyFont="1" applyFill="1" applyBorder="1" applyAlignment="1" applyProtection="1">
      <alignment horizontal="center" vertical="center"/>
    </xf>
    <xf numFmtId="0" fontId="33" fillId="4" borderId="18" xfId="0" applyFont="1" applyFill="1" applyBorder="1" applyAlignment="1">
      <alignment horizontal="center" vertical="center"/>
    </xf>
    <xf numFmtId="0" fontId="33" fillId="4" borderId="18" xfId="0" applyFont="1" applyFill="1" applyBorder="1" applyAlignment="1">
      <alignment horizontal="center" vertical="center" wrapText="1"/>
    </xf>
    <xf numFmtId="0" fontId="35" fillId="4" borderId="18" xfId="0" applyFont="1" applyFill="1" applyBorder="1" applyAlignment="1">
      <alignment horizontal="center" vertical="center"/>
    </xf>
    <xf numFmtId="0" fontId="36" fillId="4" borderId="18" xfId="0" applyFont="1" applyFill="1" applyBorder="1" applyAlignment="1">
      <alignment horizontal="center" vertical="center" wrapText="1"/>
    </xf>
    <xf numFmtId="2" fontId="33" fillId="4" borderId="19" xfId="0" applyNumberFormat="1" applyFont="1" applyFill="1" applyBorder="1" applyAlignment="1">
      <alignment horizontal="center" vertical="center"/>
    </xf>
    <xf numFmtId="0" fontId="33" fillId="4" borderId="19" xfId="0" applyFont="1" applyFill="1" applyBorder="1" applyAlignment="1" applyProtection="1">
      <alignment horizontal="center" vertical="center"/>
    </xf>
    <xf numFmtId="0" fontId="33" fillId="4" borderId="1" xfId="0" applyFont="1" applyFill="1" applyBorder="1" applyAlignment="1">
      <alignment horizontal="center" vertical="center"/>
    </xf>
    <xf numFmtId="0" fontId="33" fillId="4" borderId="1" xfId="0" applyFont="1" applyFill="1" applyBorder="1" applyAlignment="1">
      <alignment horizontal="center" vertical="center" wrapText="1"/>
    </xf>
    <xf numFmtId="0" fontId="35" fillId="4" borderId="1" xfId="0" applyFont="1" applyFill="1" applyBorder="1" applyAlignment="1">
      <alignment horizontal="center" vertical="center"/>
    </xf>
    <xf numFmtId="0" fontId="36" fillId="4" borderId="1" xfId="0" applyFont="1" applyFill="1" applyBorder="1" applyAlignment="1">
      <alignment horizontal="center" vertical="center" wrapText="1"/>
    </xf>
    <xf numFmtId="2" fontId="33" fillId="4" borderId="20" xfId="0" applyNumberFormat="1" applyFont="1" applyFill="1" applyBorder="1" applyAlignment="1">
      <alignment horizontal="center" vertical="center"/>
    </xf>
    <xf numFmtId="0" fontId="33" fillId="4" borderId="20" xfId="0" applyFont="1" applyFill="1" applyBorder="1" applyAlignment="1" applyProtection="1">
      <alignment horizontal="center" vertical="center"/>
    </xf>
    <xf numFmtId="0" fontId="33" fillId="4" borderId="21" xfId="0" applyFont="1" applyFill="1" applyBorder="1" applyAlignment="1">
      <alignment horizontal="center" vertical="center"/>
    </xf>
    <xf numFmtId="0" fontId="33" fillId="4" borderId="21" xfId="0" applyFont="1" applyFill="1" applyBorder="1" applyAlignment="1">
      <alignment horizontal="center" vertical="center" wrapText="1"/>
    </xf>
    <xf numFmtId="0" fontId="35" fillId="4" borderId="21" xfId="0" applyFont="1" applyFill="1" applyBorder="1" applyAlignment="1">
      <alignment horizontal="center" vertical="center"/>
    </xf>
    <xf numFmtId="0" fontId="36" fillId="4" borderId="21" xfId="0" applyFont="1" applyFill="1" applyBorder="1" applyAlignment="1">
      <alignment horizontal="center" vertical="center" wrapText="1"/>
    </xf>
    <xf numFmtId="0" fontId="37" fillId="0" borderId="0" xfId="0" applyFont="1" applyAlignment="1">
      <alignment horizontal="justify" vertical="center"/>
    </xf>
    <xf numFmtId="0" fontId="20" fillId="3" borderId="39" xfId="0" applyFont="1" applyFill="1" applyBorder="1" applyAlignment="1" applyProtection="1">
      <alignment horizontal="center" vertical="center" wrapText="1"/>
      <protection locked="0"/>
    </xf>
    <xf numFmtId="0" fontId="37" fillId="0" borderId="0" xfId="0" applyFont="1" applyAlignment="1">
      <alignment vertical="center"/>
    </xf>
    <xf numFmtId="0" fontId="3" fillId="0" borderId="0" xfId="0" applyFont="1" applyAlignment="1">
      <alignment wrapText="1"/>
    </xf>
    <xf numFmtId="0" fontId="20" fillId="3" borderId="39" xfId="0" applyFont="1" applyFill="1" applyBorder="1" applyAlignment="1" applyProtection="1">
      <alignment horizontal="center" vertical="center" wrapText="1"/>
      <protection locked="0"/>
    </xf>
    <xf numFmtId="0" fontId="38" fillId="0" borderId="0" xfId="0" applyFont="1" applyFill="1" applyAlignment="1">
      <alignment vertical="center"/>
    </xf>
    <xf numFmtId="0" fontId="39" fillId="0" borderId="0" xfId="0" applyFont="1" applyAlignment="1">
      <alignment vertical="center"/>
    </xf>
    <xf numFmtId="0" fontId="40" fillId="4" borderId="14" xfId="0" applyNumberFormat="1" applyFont="1" applyFill="1" applyBorder="1" applyAlignment="1">
      <alignment horizontal="center" vertical="center"/>
    </xf>
    <xf numFmtId="0" fontId="40" fillId="4" borderId="0" xfId="0" applyNumberFormat="1" applyFont="1" applyFill="1" applyBorder="1" applyAlignment="1">
      <alignment horizontal="center" vertical="center"/>
    </xf>
    <xf numFmtId="0" fontId="40" fillId="4" borderId="16" xfId="0" applyNumberFormat="1" applyFont="1" applyFill="1" applyBorder="1" applyAlignment="1">
      <alignment horizontal="center" vertical="center"/>
    </xf>
    <xf numFmtId="0" fontId="32" fillId="3" borderId="13" xfId="0" applyFont="1" applyFill="1" applyBorder="1" applyAlignment="1" applyProtection="1">
      <alignment horizontal="center" vertical="center"/>
      <protection locked="0"/>
    </xf>
    <xf numFmtId="0" fontId="32" fillId="3" borderId="37" xfId="0" applyFont="1" applyFill="1" applyBorder="1" applyAlignment="1" applyProtection="1">
      <alignment horizontal="center" vertical="center" wrapText="1"/>
      <protection locked="0"/>
    </xf>
    <xf numFmtId="0" fontId="32" fillId="3" borderId="13" xfId="0" applyFont="1" applyFill="1" applyBorder="1" applyAlignment="1" applyProtection="1">
      <alignment horizontal="center" vertical="center" wrapText="1"/>
      <protection locked="0"/>
    </xf>
    <xf numFmtId="0" fontId="20" fillId="3" borderId="13" xfId="0" applyFont="1" applyFill="1" applyBorder="1" applyAlignment="1" applyProtection="1">
      <alignment horizontal="center" vertical="center"/>
      <protection locked="0"/>
    </xf>
    <xf numFmtId="164" fontId="13" fillId="5" borderId="9" xfId="1" applyNumberFormat="1" applyFont="1" applyBorder="1" applyAlignment="1">
      <alignment horizontal="left" vertical="center" wrapText="1"/>
    </xf>
    <xf numFmtId="164" fontId="13" fillId="5" borderId="0" xfId="1" applyNumberFormat="1" applyFont="1" applyBorder="1" applyAlignment="1">
      <alignment horizontal="left" vertical="center" wrapText="1"/>
    </xf>
    <xf numFmtId="164" fontId="13" fillId="5" borderId="15" xfId="1" applyNumberFormat="1" applyFont="1" applyBorder="1" applyAlignment="1">
      <alignment horizontal="left" vertical="center" wrapText="1"/>
    </xf>
    <xf numFmtId="0" fontId="14" fillId="0" borderId="0" xfId="1" applyFont="1" applyFill="1" applyBorder="1" applyAlignment="1">
      <alignment horizontal="left" vertical="center"/>
    </xf>
    <xf numFmtId="164" fontId="13" fillId="0" borderId="0" xfId="1" applyNumberFormat="1" applyFont="1" applyFill="1" applyBorder="1" applyAlignment="1">
      <alignment horizontal="left" vertical="center" wrapText="1"/>
    </xf>
    <xf numFmtId="0" fontId="20" fillId="3" borderId="2" xfId="0" applyFont="1" applyFill="1" applyBorder="1" applyAlignment="1" applyProtection="1">
      <alignment horizontal="center" vertical="center" wrapText="1"/>
      <protection locked="0"/>
    </xf>
    <xf numFmtId="0" fontId="18" fillId="0" borderId="0" xfId="0" applyFont="1" applyBorder="1" applyAlignment="1">
      <alignment horizontal="center" vertical="center" wrapText="1"/>
    </xf>
    <xf numFmtId="0" fontId="21" fillId="3" borderId="2" xfId="0" applyFont="1" applyFill="1" applyBorder="1" applyAlignment="1" applyProtection="1">
      <alignment horizontal="center" vertical="center" wrapText="1"/>
      <protection locked="0"/>
    </xf>
    <xf numFmtId="0" fontId="27" fillId="0" borderId="9" xfId="0" applyFont="1" applyBorder="1" applyAlignment="1">
      <alignment horizontal="center" vertical="center" wrapText="1"/>
    </xf>
    <xf numFmtId="0" fontId="27" fillId="0" borderId="0" xfId="0" applyFont="1" applyBorder="1" applyAlignment="1">
      <alignment horizontal="center" vertical="center" wrapText="1"/>
    </xf>
    <xf numFmtId="0" fontId="27" fillId="0" borderId="7" xfId="0" applyFont="1" applyBorder="1" applyAlignment="1">
      <alignment horizontal="center" vertical="center" wrapText="1"/>
    </xf>
    <xf numFmtId="0" fontId="27" fillId="0" borderId="16" xfId="0" applyFont="1" applyBorder="1" applyAlignment="1">
      <alignment horizontal="center" vertical="center" wrapText="1"/>
    </xf>
    <xf numFmtId="164" fontId="17" fillId="0" borderId="0" xfId="0" applyNumberFormat="1" applyFont="1" applyBorder="1" applyAlignment="1">
      <alignment wrapText="1"/>
    </xf>
    <xf numFmtId="164" fontId="19" fillId="0" borderId="6" xfId="0" applyNumberFormat="1" applyFont="1" applyBorder="1" applyAlignment="1">
      <alignment horizontal="left" vertical="top" wrapText="1"/>
    </xf>
    <xf numFmtId="164" fontId="19" fillId="0" borderId="40" xfId="0" applyNumberFormat="1" applyFont="1" applyBorder="1" applyAlignment="1">
      <alignment horizontal="left" vertical="top" wrapText="1"/>
    </xf>
    <xf numFmtId="164" fontId="19" fillId="0" borderId="13" xfId="0" applyNumberFormat="1" applyFont="1" applyBorder="1" applyAlignment="1">
      <alignment horizontal="left" vertical="top" wrapText="1"/>
    </xf>
    <xf numFmtId="0" fontId="32" fillId="3" borderId="2" xfId="0" applyFont="1" applyFill="1" applyBorder="1" applyAlignment="1" applyProtection="1">
      <alignment horizontal="center" vertical="center" wrapText="1"/>
      <protection locked="0"/>
    </xf>
    <xf numFmtId="164" fontId="17" fillId="3" borderId="8" xfId="0" applyNumberFormat="1" applyFont="1" applyFill="1" applyBorder="1" applyAlignment="1" applyProtection="1">
      <alignment horizontal="center" wrapText="1"/>
    </xf>
    <xf numFmtId="164" fontId="17" fillId="3" borderId="14" xfId="0" applyNumberFormat="1" applyFont="1" applyFill="1" applyBorder="1" applyAlignment="1" applyProtection="1">
      <alignment horizontal="center" wrapText="1"/>
    </xf>
    <xf numFmtId="164" fontId="17" fillId="3" borderId="10" xfId="0" applyNumberFormat="1" applyFont="1" applyFill="1" applyBorder="1" applyAlignment="1" applyProtection="1">
      <alignment horizontal="center" wrapText="1"/>
    </xf>
    <xf numFmtId="164" fontId="17" fillId="3" borderId="9" xfId="0" applyNumberFormat="1" applyFont="1" applyFill="1" applyBorder="1" applyAlignment="1" applyProtection="1">
      <alignment horizontal="center" wrapText="1"/>
    </xf>
    <xf numFmtId="164" fontId="17" fillId="3" borderId="0" xfId="0" applyNumberFormat="1" applyFont="1" applyFill="1" applyBorder="1" applyAlignment="1" applyProtection="1">
      <alignment horizontal="center" wrapText="1"/>
    </xf>
    <xf numFmtId="164" fontId="17" fillId="3" borderId="15" xfId="0" applyNumberFormat="1" applyFont="1" applyFill="1" applyBorder="1" applyAlignment="1" applyProtection="1">
      <alignment horizontal="center" wrapText="1"/>
    </xf>
    <xf numFmtId="0" fontId="3" fillId="3" borderId="2" xfId="0" applyFont="1" applyFill="1" applyBorder="1" applyAlignment="1" applyProtection="1">
      <alignment horizontal="center" wrapText="1"/>
      <protection locked="0"/>
    </xf>
    <xf numFmtId="0" fontId="17" fillId="3" borderId="2" xfId="0" applyFont="1" applyFill="1" applyBorder="1" applyAlignment="1" applyProtection="1">
      <alignment horizontal="center" wrapText="1"/>
      <protection locked="0"/>
    </xf>
    <xf numFmtId="164" fontId="10" fillId="5" borderId="8" xfId="1" applyNumberFormat="1" applyFont="1" applyBorder="1" applyAlignment="1">
      <alignment horizontal="left" vertical="center" wrapText="1"/>
    </xf>
    <xf numFmtId="164" fontId="10" fillId="5" borderId="14" xfId="1" applyNumberFormat="1" applyFont="1" applyBorder="1" applyAlignment="1">
      <alignment horizontal="left" vertical="center" wrapText="1"/>
    </xf>
    <xf numFmtId="164" fontId="10" fillId="5" borderId="10" xfId="1" applyNumberFormat="1" applyFont="1" applyBorder="1" applyAlignment="1">
      <alignment horizontal="left" vertical="center" wrapText="1"/>
    </xf>
    <xf numFmtId="2" fontId="23" fillId="4" borderId="8" xfId="0" applyNumberFormat="1" applyFont="1" applyFill="1" applyBorder="1" applyAlignment="1">
      <alignment horizontal="center" vertical="center"/>
    </xf>
    <xf numFmtId="2" fontId="23" fillId="4" borderId="14" xfId="0" applyNumberFormat="1" applyFont="1" applyFill="1" applyBorder="1" applyAlignment="1">
      <alignment horizontal="center" vertical="center"/>
    </xf>
    <xf numFmtId="0" fontId="21" fillId="3" borderId="37" xfId="0" applyFont="1" applyFill="1" applyBorder="1" applyAlignment="1" applyProtection="1">
      <alignment horizontal="center" vertical="center" wrapText="1"/>
      <protection locked="0"/>
    </xf>
    <xf numFmtId="0" fontId="21" fillId="3" borderId="39" xfId="0" applyFont="1" applyFill="1" applyBorder="1" applyAlignment="1" applyProtection="1">
      <alignment horizontal="center" vertical="center" wrapText="1"/>
      <protection locked="0"/>
    </xf>
    <xf numFmtId="2" fontId="23" fillId="4" borderId="9" xfId="0" applyNumberFormat="1" applyFont="1" applyFill="1" applyBorder="1" applyAlignment="1">
      <alignment horizontal="center" vertical="center"/>
    </xf>
    <xf numFmtId="2" fontId="23" fillId="4" borderId="0" xfId="0" applyNumberFormat="1" applyFont="1" applyFill="1" applyBorder="1" applyAlignment="1">
      <alignment horizontal="center" vertical="center"/>
    </xf>
    <xf numFmtId="2" fontId="23" fillId="4" borderId="7" xfId="0" applyNumberFormat="1" applyFont="1" applyFill="1" applyBorder="1" applyAlignment="1">
      <alignment horizontal="center" vertical="center"/>
    </xf>
    <xf numFmtId="2" fontId="23" fillId="4" borderId="16" xfId="0" applyNumberFormat="1" applyFont="1" applyFill="1" applyBorder="1" applyAlignment="1">
      <alignment horizontal="center" vertical="center"/>
    </xf>
    <xf numFmtId="0" fontId="8" fillId="5" borderId="0" xfId="1" applyFont="1" applyBorder="1" applyAlignment="1">
      <alignment horizontal="left" vertical="center"/>
    </xf>
    <xf numFmtId="0" fontId="8" fillId="5" borderId="15" xfId="1" applyFont="1" applyBorder="1" applyAlignment="1">
      <alignment horizontal="left" vertical="center"/>
    </xf>
    <xf numFmtId="0" fontId="21" fillId="3" borderId="7" xfId="0" applyFont="1" applyFill="1" applyBorder="1" applyAlignment="1" applyProtection="1">
      <alignment horizontal="center" vertical="center" wrapText="1"/>
      <protection locked="0"/>
    </xf>
    <xf numFmtId="0" fontId="21" fillId="3" borderId="5" xfId="0" applyFont="1" applyFill="1" applyBorder="1" applyAlignment="1" applyProtection="1">
      <alignment horizontal="center" vertical="center" wrapText="1"/>
      <protection locked="0"/>
    </xf>
    <xf numFmtId="0" fontId="2" fillId="2" borderId="2" xfId="0" applyFont="1" applyFill="1" applyBorder="1" applyAlignment="1" applyProtection="1">
      <alignment horizontal="center" vertical="center" wrapText="1"/>
    </xf>
    <xf numFmtId="0" fontId="5" fillId="2" borderId="6" xfId="0" applyFont="1" applyFill="1" applyBorder="1" applyAlignment="1" applyProtection="1">
      <alignment horizontal="center" vertical="center" wrapText="1"/>
    </xf>
    <xf numFmtId="0" fontId="8" fillId="5" borderId="16" xfId="1" applyFont="1" applyBorder="1" applyAlignment="1">
      <alignment horizontal="left" vertical="center"/>
    </xf>
    <xf numFmtId="0" fontId="8" fillId="5" borderId="5" xfId="1" applyFont="1" applyBorder="1" applyAlignment="1">
      <alignment horizontal="left" vertical="center"/>
    </xf>
    <xf numFmtId="164" fontId="19" fillId="0" borderId="37" xfId="0" applyNumberFormat="1" applyFont="1" applyBorder="1" applyAlignment="1">
      <alignment horizontal="left" vertical="center" wrapText="1"/>
    </xf>
    <xf numFmtId="164" fontId="19" fillId="0" borderId="38" xfId="0" applyNumberFormat="1" applyFont="1" applyBorder="1" applyAlignment="1">
      <alignment horizontal="left" vertical="center" wrapText="1"/>
    </xf>
    <xf numFmtId="164" fontId="19" fillId="0" borderId="39" xfId="0" applyNumberFormat="1" applyFont="1" applyBorder="1" applyAlignment="1">
      <alignment horizontal="left" vertical="center" wrapText="1"/>
    </xf>
    <xf numFmtId="0" fontId="32" fillId="3" borderId="37" xfId="0" applyFont="1" applyFill="1" applyBorder="1" applyAlignment="1" applyProtection="1">
      <alignment horizontal="center" vertical="center" wrapText="1"/>
      <protection locked="0"/>
    </xf>
    <xf numFmtId="0" fontId="20" fillId="3" borderId="39" xfId="0" applyFont="1" applyFill="1" applyBorder="1" applyAlignment="1" applyProtection="1">
      <alignment horizontal="center" vertical="center" wrapText="1"/>
      <protection locked="0"/>
    </xf>
    <xf numFmtId="0" fontId="8" fillId="5" borderId="0" xfId="1" applyFont="1" applyBorder="1" applyAlignment="1">
      <alignment horizontal="left" vertical="center" wrapText="1"/>
    </xf>
    <xf numFmtId="0" fontId="8" fillId="5" borderId="15" xfId="1" applyFont="1" applyBorder="1" applyAlignment="1">
      <alignment horizontal="left" vertical="center" wrapText="1"/>
    </xf>
    <xf numFmtId="0" fontId="34" fillId="3" borderId="37" xfId="3" applyFill="1" applyBorder="1" applyAlignment="1" applyProtection="1">
      <alignment horizontal="center" vertical="center" wrapText="1"/>
      <protection locked="0"/>
    </xf>
    <xf numFmtId="0" fontId="32" fillId="3" borderId="39" xfId="0" applyFont="1" applyFill="1" applyBorder="1" applyAlignment="1" applyProtection="1">
      <alignment horizontal="center" vertical="center" wrapText="1"/>
      <protection locked="0"/>
    </xf>
    <xf numFmtId="164" fontId="10" fillId="5" borderId="9" xfId="1" applyNumberFormat="1" applyFont="1" applyBorder="1" applyAlignment="1">
      <alignment horizontal="left" vertical="center" wrapText="1"/>
    </xf>
    <xf numFmtId="164" fontId="10" fillId="5" borderId="0" xfId="1" applyNumberFormat="1" applyFont="1" applyBorder="1" applyAlignment="1">
      <alignment horizontal="left" vertical="center" wrapText="1"/>
    </xf>
    <xf numFmtId="0" fontId="8" fillId="5" borderId="9" xfId="1" applyFont="1" applyBorder="1" applyAlignment="1">
      <alignment horizontal="left" vertical="center"/>
    </xf>
    <xf numFmtId="0" fontId="8" fillId="5" borderId="9" xfId="1" applyFont="1" applyBorder="1" applyAlignment="1">
      <alignment horizontal="center" vertical="center"/>
    </xf>
    <xf numFmtId="0" fontId="8" fillId="5" borderId="0" xfId="1" applyFont="1" applyBorder="1" applyAlignment="1">
      <alignment horizontal="center" vertical="center"/>
    </xf>
  </cellXfs>
  <cellStyles count="4">
    <cellStyle name="Eingabe" xfId="1" builtinId="20"/>
    <cellStyle name="Hyperlink" xfId="3" builtinId="8"/>
    <cellStyle name="Standard" xfId="0" builtinId="0"/>
    <cellStyle name="Währung" xfId="2" builtinId="4"/>
  </cellStyles>
  <dxfs count="0"/>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00FF00"/>
      <rgbColor rgb="000000D4"/>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141312"/>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F$14" noThreeD="1"/>
</file>

<file path=xl/ctrlProps/ctrlProp5.xml><?xml version="1.0" encoding="utf-8"?>
<formControlPr xmlns="http://schemas.microsoft.com/office/spreadsheetml/2009/9/main" objectType="CheckBox" fmlaLink="$F$15" lockText="1" noThreeD="1"/>
</file>

<file path=xl/ctrlProps/ctrlProp6.xml><?xml version="1.0" encoding="utf-8"?>
<formControlPr xmlns="http://schemas.microsoft.com/office/spreadsheetml/2009/9/main" objectType="CheckBox" fmlaLink="$F$16" lockText="1" noThreeD="1"/>
</file>

<file path=xl/ctrlProps/ctrlProp7.xml><?xml version="1.0" encoding="utf-8"?>
<formControlPr xmlns="http://schemas.microsoft.com/office/spreadsheetml/2009/9/main" objectType="CheckBox" fmlaLink="$F$17" lockText="1" noThreeD="1"/>
</file>

<file path=xl/ctrlProps/ctrlProp8.xml><?xml version="1.0" encoding="utf-8"?>
<formControlPr xmlns="http://schemas.microsoft.com/office/spreadsheetml/2009/9/main" objectType="CheckBox" fmlaLink="$F$19" lockText="1" noThreeD="1"/>
</file>

<file path=xl/ctrlProps/ctrlProp9.xml><?xml version="1.0" encoding="utf-8"?>
<formControlPr xmlns="http://schemas.microsoft.com/office/spreadsheetml/2009/9/main" objectType="CheckBox" checked="Checked" fmlaLink="$F$21" lockText="1" noThreeD="1"/>
</file>

<file path=xl/ctrlProps/ctrlProp10.xml><?xml version="1.0" encoding="utf-8"?>
<formControlPr xmlns="http://schemas.microsoft.com/office/spreadsheetml/2009/9/main" objectType="CheckBox" fmlaLink="$F$22" lockText="1" noThreeD="1"/>
</file>

<file path=xl/ctrlProps/ctrlProp11.xml><?xml version="1.0" encoding="utf-8"?>
<formControlPr xmlns="http://schemas.microsoft.com/office/spreadsheetml/2009/9/main" objectType="CheckBox" fmlaLink="$F$23" lockText="1" noThreeD="1"/>
</file>

<file path=xl/ctrlProps/ctrlProp12.xml><?xml version="1.0" encoding="utf-8"?>
<formControlPr xmlns="http://schemas.microsoft.com/office/spreadsheetml/2009/9/main" objectType="CheckBox" fmlaLink="$F$24" lockText="1" noThreeD="1"/>
</file>

<file path=xl/ctrlProps/ctrlProp13.xml><?xml version="1.0" encoding="utf-8"?>
<formControlPr xmlns="http://schemas.microsoft.com/office/spreadsheetml/2009/9/main" objectType="CheckBox" fmlaLink="$F$25" lockText="1" noThreeD="1"/>
</file>

<file path=xl/ctrlProps/ctrlProp14.xml><?xml version="1.0" encoding="utf-8"?>
<formControlPr xmlns="http://schemas.microsoft.com/office/spreadsheetml/2009/9/main" objectType="CheckBox" fmlaLink="$F$20" lockText="1" noThreeD="1"/>
</file>

<file path=xl/ctrlProps/ctrlProp15.xml><?xml version="1.0" encoding="utf-8"?>
<formControlPr xmlns="http://schemas.microsoft.com/office/spreadsheetml/2009/9/main" objectType="CheckBox" fmlaLink="$F$26" lockText="1" noThreeD="1"/>
</file>

<file path=xl/ctrlProps/ctrlProp16.xml><?xml version="1.0" encoding="utf-8"?>
<formControlPr xmlns="http://schemas.microsoft.com/office/spreadsheetml/2009/9/main" objectType="CheckBox" fmlaLink="$F$27" lockText="1" noThreeD="1"/>
</file>

<file path=xl/ctrlProps/ctrlProp17.xml><?xml version="1.0" encoding="utf-8"?>
<formControlPr xmlns="http://schemas.microsoft.com/office/spreadsheetml/2009/9/main" objectType="CheckBox" fmlaLink="$F$18" lockText="1"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8</xdr:row>
          <xdr:rowOff>9525</xdr:rowOff>
        </xdr:from>
        <xdr:to>
          <xdr:col>3</xdr:col>
          <xdr:colOff>0</xdr:colOff>
          <xdr:row>10</xdr:row>
          <xdr:rowOff>161925</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de-DE" sz="1200" b="0" i="0" u="none" strike="noStrike" baseline="0">
                  <a:solidFill>
                    <a:srgbClr val="000000"/>
                  </a:solidFill>
                  <a:latin typeface="Lucida Grande"/>
                </a:rPr>
                <a:t>Messstelleninfos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14</xdr:row>
          <xdr:rowOff>0</xdr:rowOff>
        </xdr:from>
        <xdr:to>
          <xdr:col>3</xdr:col>
          <xdr:colOff>0</xdr:colOff>
          <xdr:row>17</xdr:row>
          <xdr:rowOff>28575</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de-DE" sz="1200" b="0" i="0" u="none" strike="noStrike" baseline="0">
                  <a:solidFill>
                    <a:srgbClr val="000000"/>
                  </a:solidFill>
                  <a:latin typeface="Lucida Grande"/>
                </a:rPr>
                <a:t>Sensorkonfiguration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20</xdr:row>
          <xdr:rowOff>9525</xdr:rowOff>
        </xdr:from>
        <xdr:to>
          <xdr:col>2</xdr:col>
          <xdr:colOff>695325</xdr:colOff>
          <xdr:row>22</xdr:row>
          <xdr:rowOff>161925</xdr:rowOff>
        </xdr:to>
        <xdr:sp macro="" textlink="">
          <xdr:nvSpPr>
            <xdr:cNvPr id="7171" name="Button 3" hidden="1">
              <a:extLst>
                <a:ext uri="{63B3BB69-23CF-44E3-9099-C40C66FF867C}">
                  <a14:compatExt spid="_x0000_s71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200" b="0" i="0" u="none" strike="noStrike" baseline="0">
                  <a:solidFill>
                    <a:srgbClr val="000000"/>
                  </a:solidFill>
                  <a:latin typeface="Calibri"/>
                </a:rPr>
                <a:t>Loggerdatei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485775</xdr:colOff>
          <xdr:row>3</xdr:row>
          <xdr:rowOff>0</xdr:rowOff>
        </xdr:from>
        <xdr:to>
          <xdr:col>2</xdr:col>
          <xdr:colOff>885825</xdr:colOff>
          <xdr:row>4</xdr:row>
          <xdr:rowOff>47625</xdr:rowOff>
        </xdr:to>
        <xdr:sp macro="" textlink="">
          <xdr:nvSpPr>
            <xdr:cNvPr id="5121" name="Check Box 1" hidden="1">
              <a:extLst>
                <a:ext uri="{63B3BB69-23CF-44E3-9099-C40C66FF867C}">
                  <a14:compatExt spid="_x0000_s512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de-DE" sz="1000" b="0" i="0" u="none" strike="noStrike" baseline="0">
                  <a:solidFill>
                    <a:srgbClr val="000000"/>
                  </a:solidFill>
                  <a:latin typeface="Geneva"/>
                </a:rPr>
                <a:t>Gewässer Abflussmenge/Wasserstand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485775</xdr:colOff>
          <xdr:row>4</xdr:row>
          <xdr:rowOff>114300</xdr:rowOff>
        </xdr:from>
        <xdr:to>
          <xdr:col>2</xdr:col>
          <xdr:colOff>19050</xdr:colOff>
          <xdr:row>5</xdr:row>
          <xdr:rowOff>123825</xdr:rowOff>
        </xdr:to>
        <xdr:sp macro="" textlink="">
          <xdr:nvSpPr>
            <xdr:cNvPr id="5124" name="Check Box 4" hidden="1">
              <a:extLst>
                <a:ext uri="{63B3BB69-23CF-44E3-9099-C40C66FF867C}">
                  <a14:compatExt spid="_x0000_s512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de-DE" sz="1000" b="0" i="0" u="none" strike="noStrike" baseline="0">
                  <a:solidFill>
                    <a:srgbClr val="000000"/>
                  </a:solidFill>
                  <a:latin typeface="Geneva"/>
                </a:rPr>
                <a:t>Bodeneigenschaften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485775</xdr:colOff>
          <xdr:row>5</xdr:row>
          <xdr:rowOff>190500</xdr:rowOff>
        </xdr:from>
        <xdr:to>
          <xdr:col>1</xdr:col>
          <xdr:colOff>1781175</xdr:colOff>
          <xdr:row>6</xdr:row>
          <xdr:rowOff>161925</xdr:rowOff>
        </xdr:to>
        <xdr:sp macro="" textlink="">
          <xdr:nvSpPr>
            <xdr:cNvPr id="5125" name="Check Box 5" hidden="1">
              <a:extLst>
                <a:ext uri="{63B3BB69-23CF-44E3-9099-C40C66FF867C}">
                  <a14:compatExt spid="_x0000_s512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de-DE" sz="1000" b="0" i="0" u="none" strike="noStrike" baseline="0">
                  <a:solidFill>
                    <a:srgbClr val="000000"/>
                  </a:solidFill>
                  <a:latin typeface="Geneva"/>
                </a:rPr>
                <a:t>Cosmic Ray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485775</xdr:colOff>
          <xdr:row>6</xdr:row>
          <xdr:rowOff>219075</xdr:rowOff>
        </xdr:from>
        <xdr:to>
          <xdr:col>2</xdr:col>
          <xdr:colOff>238125</xdr:colOff>
          <xdr:row>7</xdr:row>
          <xdr:rowOff>219075</xdr:rowOff>
        </xdr:to>
        <xdr:sp macro="" textlink="">
          <xdr:nvSpPr>
            <xdr:cNvPr id="5126" name="Check Box 6" hidden="1">
              <a:extLst>
                <a:ext uri="{63B3BB69-23CF-44E3-9099-C40C66FF867C}">
                  <a14:compatExt spid="_x0000_s512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de-DE" sz="1000" b="0" i="0" u="none" strike="noStrike" baseline="0">
                  <a:solidFill>
                    <a:srgbClr val="000000"/>
                  </a:solidFill>
                  <a:latin typeface="Geneva"/>
                </a:rPr>
                <a:t>Depositionssammler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485775</xdr:colOff>
          <xdr:row>8</xdr:row>
          <xdr:rowOff>28575</xdr:rowOff>
        </xdr:from>
        <xdr:to>
          <xdr:col>2</xdr:col>
          <xdr:colOff>285750</xdr:colOff>
          <xdr:row>9</xdr:row>
          <xdr:rowOff>38100</xdr:rowOff>
        </xdr:to>
        <xdr:sp macro="" textlink="">
          <xdr:nvSpPr>
            <xdr:cNvPr id="5127" name="Check Box 7" hidden="1">
              <a:extLst>
                <a:ext uri="{63B3BB69-23CF-44E3-9099-C40C66FF867C}">
                  <a14:compatExt spid="_x0000_s512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de-DE" sz="1000" b="0" i="0" u="none" strike="noStrike" baseline="0">
                  <a:solidFill>
                    <a:srgbClr val="000000"/>
                  </a:solidFill>
                  <a:latin typeface="Geneva"/>
                </a:rPr>
                <a:t>Grundwasserstand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504825</xdr:colOff>
          <xdr:row>10</xdr:row>
          <xdr:rowOff>219075</xdr:rowOff>
        </xdr:from>
        <xdr:to>
          <xdr:col>1</xdr:col>
          <xdr:colOff>1790700</xdr:colOff>
          <xdr:row>11</xdr:row>
          <xdr:rowOff>190500</xdr:rowOff>
        </xdr:to>
        <xdr:sp macro="" textlink="">
          <xdr:nvSpPr>
            <xdr:cNvPr id="5128" name="Check Box 8" hidden="1">
              <a:extLst>
                <a:ext uri="{63B3BB69-23CF-44E3-9099-C40C66FF867C}">
                  <a14:compatExt spid="_x0000_s512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de-DE" sz="1000" b="0" i="0" u="none" strike="noStrike" baseline="0">
                  <a:solidFill>
                    <a:srgbClr val="000000"/>
                  </a:solidFill>
                  <a:latin typeface="Geneva"/>
                </a:rPr>
                <a:t>Klimadaten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1123950</xdr:colOff>
          <xdr:row>3</xdr:row>
          <xdr:rowOff>28575</xdr:rowOff>
        </xdr:from>
        <xdr:to>
          <xdr:col>3</xdr:col>
          <xdr:colOff>209550</xdr:colOff>
          <xdr:row>4</xdr:row>
          <xdr:rowOff>0</xdr:rowOff>
        </xdr:to>
        <xdr:sp macro="" textlink="">
          <xdr:nvSpPr>
            <xdr:cNvPr id="5129" name="Check Box 9" hidden="1">
              <a:extLst>
                <a:ext uri="{63B3BB69-23CF-44E3-9099-C40C66FF867C}">
                  <a14:compatExt spid="_x0000_s512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de-DE" sz="1000" b="0" i="0" u="none" strike="noStrike" baseline="0">
                  <a:solidFill>
                    <a:srgbClr val="000000"/>
                  </a:solidFill>
                  <a:latin typeface="Geneva"/>
                </a:rPr>
                <a:t>Laubsammler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1123950</xdr:colOff>
          <xdr:row>4</xdr:row>
          <xdr:rowOff>104775</xdr:rowOff>
        </xdr:from>
        <xdr:to>
          <xdr:col>3</xdr:col>
          <xdr:colOff>1276350</xdr:colOff>
          <xdr:row>5</xdr:row>
          <xdr:rowOff>114300</xdr:rowOff>
        </xdr:to>
        <xdr:sp macro="" textlink="">
          <xdr:nvSpPr>
            <xdr:cNvPr id="5130" name="Check Box 10" hidden="1">
              <a:extLst>
                <a:ext uri="{63B3BB69-23CF-44E3-9099-C40C66FF867C}">
                  <a14:compatExt spid="_x0000_s5130"/>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de-DE" sz="1000" b="0" i="0" u="none" strike="noStrike" baseline="0">
                  <a:solidFill>
                    <a:srgbClr val="000000"/>
                  </a:solidFill>
                  <a:latin typeface="Geneva"/>
                </a:rPr>
                <a:t>Regenwasserbeschaffenheit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1123950</xdr:colOff>
          <xdr:row>5</xdr:row>
          <xdr:rowOff>180975</xdr:rowOff>
        </xdr:from>
        <xdr:to>
          <xdr:col>3</xdr:col>
          <xdr:colOff>285750</xdr:colOff>
          <xdr:row>6</xdr:row>
          <xdr:rowOff>152400</xdr:rowOff>
        </xdr:to>
        <xdr:sp macro="" textlink="">
          <xdr:nvSpPr>
            <xdr:cNvPr id="5131" name="Check Box 11" hidden="1">
              <a:extLst>
                <a:ext uri="{63B3BB69-23CF-44E3-9099-C40C66FF867C}">
                  <a14:compatExt spid="_x0000_s513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de-DE" sz="1000" b="0" i="0" u="none" strike="noStrike" baseline="0">
                  <a:solidFill>
                    <a:srgbClr val="000000"/>
                  </a:solidFill>
                  <a:latin typeface="Geneva"/>
                </a:rPr>
                <a:t>SoilNet end device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1133475</xdr:colOff>
          <xdr:row>6</xdr:row>
          <xdr:rowOff>228600</xdr:rowOff>
        </xdr:from>
        <xdr:to>
          <xdr:col>3</xdr:col>
          <xdr:colOff>304800</xdr:colOff>
          <xdr:row>7</xdr:row>
          <xdr:rowOff>200025</xdr:rowOff>
        </xdr:to>
        <xdr:sp macro="" textlink="">
          <xdr:nvSpPr>
            <xdr:cNvPr id="5132" name="Check Box 12" hidden="1">
              <a:extLst>
                <a:ext uri="{63B3BB69-23CF-44E3-9099-C40C66FF867C}">
                  <a14:compatExt spid="_x0000_s5132"/>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de-DE" sz="1000" b="0" i="0" u="none" strike="noStrike" baseline="0">
                  <a:solidFill>
                    <a:srgbClr val="000000"/>
                  </a:solidFill>
                  <a:latin typeface="Geneva"/>
                </a:rPr>
                <a:t>SoilNet router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485775</xdr:colOff>
          <xdr:row>9</xdr:row>
          <xdr:rowOff>123825</xdr:rowOff>
        </xdr:from>
        <xdr:to>
          <xdr:col>1</xdr:col>
          <xdr:colOff>1857375</xdr:colOff>
          <xdr:row>10</xdr:row>
          <xdr:rowOff>104775</xdr:rowOff>
        </xdr:to>
        <xdr:sp macro="" textlink="">
          <xdr:nvSpPr>
            <xdr:cNvPr id="5133" name="Check Box 13" hidden="1">
              <a:extLst>
                <a:ext uri="{63B3BB69-23CF-44E3-9099-C40C66FF867C}">
                  <a14:compatExt spid="_x0000_s513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de-DE" sz="1000" b="0" i="0" u="none" strike="noStrike" baseline="0">
                  <a:solidFill>
                    <a:srgbClr val="000000"/>
                  </a:solidFill>
                  <a:latin typeface="Geneva"/>
                </a:rPr>
                <a:t>Isotopenmessungen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1133475</xdr:colOff>
          <xdr:row>8</xdr:row>
          <xdr:rowOff>28575</xdr:rowOff>
        </xdr:from>
        <xdr:to>
          <xdr:col>3</xdr:col>
          <xdr:colOff>304800</xdr:colOff>
          <xdr:row>9</xdr:row>
          <xdr:rowOff>0</xdr:rowOff>
        </xdr:to>
        <xdr:sp macro="" textlink="">
          <xdr:nvSpPr>
            <xdr:cNvPr id="5134" name="Check Box 14" hidden="1">
              <a:extLst>
                <a:ext uri="{63B3BB69-23CF-44E3-9099-C40C66FF867C}">
                  <a14:compatExt spid="_x0000_s513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de-DE" sz="1000" b="0" i="0" u="none" strike="noStrike" baseline="0">
                  <a:solidFill>
                    <a:srgbClr val="000000"/>
                  </a:solidFill>
                  <a:latin typeface="Geneva"/>
                </a:rPr>
                <a:t>Wasserqualität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1133475</xdr:colOff>
          <xdr:row>9</xdr:row>
          <xdr:rowOff>76200</xdr:rowOff>
        </xdr:from>
        <xdr:to>
          <xdr:col>3</xdr:col>
          <xdr:colOff>304800</xdr:colOff>
          <xdr:row>10</xdr:row>
          <xdr:rowOff>47625</xdr:rowOff>
        </xdr:to>
        <xdr:sp macro="" textlink="">
          <xdr:nvSpPr>
            <xdr:cNvPr id="5135" name="Check Box 15" hidden="1">
              <a:extLst>
                <a:ext uri="{63B3BB69-23CF-44E3-9099-C40C66FF867C}">
                  <a14:compatExt spid="_x0000_s513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de-DE" sz="1000" b="0" i="0" u="none" strike="noStrike" baseline="0">
                  <a:solidFill>
                    <a:srgbClr val="000000"/>
                  </a:solidFill>
                  <a:latin typeface="Geneva"/>
                </a:rPr>
                <a:t>Lysimeter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1133475</xdr:colOff>
          <xdr:row>10</xdr:row>
          <xdr:rowOff>114300</xdr:rowOff>
        </xdr:from>
        <xdr:to>
          <xdr:col>3</xdr:col>
          <xdr:colOff>638175</xdr:colOff>
          <xdr:row>11</xdr:row>
          <xdr:rowOff>152400</xdr:rowOff>
        </xdr:to>
        <xdr:sp macro="" textlink="">
          <xdr:nvSpPr>
            <xdr:cNvPr id="5137" name="Check Box 17" hidden="1">
              <a:extLst>
                <a:ext uri="{63B3BB69-23CF-44E3-9099-C40C66FF867C}">
                  <a14:compatExt spid="_x0000_s513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de-DE" sz="1000" b="0" i="0" u="none" strike="noStrike" baseline="0">
                  <a:solidFill>
                    <a:srgbClr val="000000"/>
                  </a:solidFill>
                  <a:latin typeface="Geneva"/>
                </a:rPr>
                <a:t>Eddy-Kovarianz</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3</xdr:row>
          <xdr:rowOff>161925</xdr:rowOff>
        </xdr:from>
        <xdr:to>
          <xdr:col>1</xdr:col>
          <xdr:colOff>1743075</xdr:colOff>
          <xdr:row>5</xdr:row>
          <xdr:rowOff>161925</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de-DE" sz="1200" b="0" i="0" u="none" strike="noStrike" baseline="0">
                  <a:solidFill>
                    <a:srgbClr val="000000"/>
                  </a:solidFill>
                  <a:latin typeface="Lucida Grande"/>
                </a:rPr>
                <a:t>Sensorliste bearbeiten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6</xdr:row>
          <xdr:rowOff>28575</xdr:rowOff>
        </xdr:from>
        <xdr:to>
          <xdr:col>2</xdr:col>
          <xdr:colOff>0</xdr:colOff>
          <xdr:row>7</xdr:row>
          <xdr:rowOff>257175</xdr:rowOff>
        </xdr:to>
        <xdr:sp macro="" textlink="">
          <xdr:nvSpPr>
            <xdr:cNvPr id="4117" name="Button 21" hidden="1">
              <a:extLst>
                <a:ext uri="{63B3BB69-23CF-44E3-9099-C40C66FF867C}">
                  <a14:compatExt spid="_x0000_s4117"/>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de-DE" sz="1200" b="0" i="0" u="none" strike="noStrike" baseline="0">
                  <a:solidFill>
                    <a:srgbClr val="000000"/>
                  </a:solidFill>
                  <a:latin typeface="Lucida Grande"/>
                </a:rPr>
                <a:t>Medium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9</xdr:row>
          <xdr:rowOff>0</xdr:rowOff>
        </xdr:from>
        <xdr:to>
          <xdr:col>1</xdr:col>
          <xdr:colOff>1390650</xdr:colOff>
          <xdr:row>11</xdr:row>
          <xdr:rowOff>0</xdr:rowOff>
        </xdr:to>
        <xdr:sp macro="" textlink="">
          <xdr:nvSpPr>
            <xdr:cNvPr id="4118" name="Button 22" hidden="1">
              <a:extLst>
                <a:ext uri="{63B3BB69-23CF-44E3-9099-C40C66FF867C}">
                  <a14:compatExt spid="_x0000_s4118"/>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de-DE" sz="1200" b="0" i="0" u="none" strike="noStrike" baseline="0">
                  <a:solidFill>
                    <a:srgbClr val="000000"/>
                  </a:solidFill>
                  <a:latin typeface="Lucida Grande"/>
                </a:rPr>
                <a:t>phys. Eigenschaft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12</xdr:row>
          <xdr:rowOff>28575</xdr:rowOff>
        </xdr:from>
        <xdr:to>
          <xdr:col>1</xdr:col>
          <xdr:colOff>1352550</xdr:colOff>
          <xdr:row>13</xdr:row>
          <xdr:rowOff>266700</xdr:rowOff>
        </xdr:to>
        <xdr:sp macro="" textlink="">
          <xdr:nvSpPr>
            <xdr:cNvPr id="4119" name="Button 23" hidden="1">
              <a:extLst>
                <a:ext uri="{63B3BB69-23CF-44E3-9099-C40C66FF867C}">
                  <a14:compatExt spid="_x0000_s4119"/>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de-DE" sz="1200" b="0" i="0" u="none" strike="noStrike" baseline="0">
                  <a:solidFill>
                    <a:srgbClr val="000000"/>
                  </a:solidFill>
                  <a:latin typeface="Lucida Grande"/>
                </a:rPr>
                <a:t>Messwerttyp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16</xdr:row>
          <xdr:rowOff>9525</xdr:rowOff>
        </xdr:from>
        <xdr:to>
          <xdr:col>1</xdr:col>
          <xdr:colOff>1390650</xdr:colOff>
          <xdr:row>18</xdr:row>
          <xdr:rowOff>9525</xdr:rowOff>
        </xdr:to>
        <xdr:sp macro="" textlink="">
          <xdr:nvSpPr>
            <xdr:cNvPr id="4121" name="Button 25" hidden="1">
              <a:extLst>
                <a:ext uri="{63B3BB69-23CF-44E3-9099-C40C66FF867C}">
                  <a14:compatExt spid="_x0000_s4121"/>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de-DE" sz="1200" b="0" i="0" u="none" strike="noStrike" baseline="0">
                  <a:solidFill>
                    <a:srgbClr val="000000"/>
                  </a:solidFill>
                  <a:latin typeface="Lucida Grande"/>
                </a:rPr>
                <a:t>Einheit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19</xdr:row>
          <xdr:rowOff>276225</xdr:rowOff>
        </xdr:from>
        <xdr:to>
          <xdr:col>1</xdr:col>
          <xdr:colOff>1381125</xdr:colOff>
          <xdr:row>22</xdr:row>
          <xdr:rowOff>9525</xdr:rowOff>
        </xdr:to>
        <xdr:sp macro="" textlink="">
          <xdr:nvSpPr>
            <xdr:cNvPr id="4122" name="Button 26" hidden="1">
              <a:extLst>
                <a:ext uri="{63B3BB69-23CF-44E3-9099-C40C66FF867C}">
                  <a14:compatExt spid="_x0000_s41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200" b="0" i="0" u="none" strike="noStrike" baseline="0">
                  <a:solidFill>
                    <a:srgbClr val="000000"/>
                  </a:solidFill>
                  <a:latin typeface="Calibri"/>
                </a:rPr>
                <a:t>Messstellen-konfiguration</a:t>
              </a:r>
            </a:p>
          </xdr:txBody>
        </xdr:sp>
        <xdr:clientData fPrintsWithSheet="0"/>
      </xdr:twoCellAnchor>
    </mc:Choice>
    <mc:Fallback/>
  </mc:AlternateContent>
</xdr:wsDr>
</file>

<file path=xl/theme/theme1.xml><?xml version="1.0" encoding="utf-8"?>
<a:theme xmlns:a="http://schemas.openxmlformats.org/drawingml/2006/main" name="Office-Desig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hyperlink" Target="mailto:carsten.jahn@kit.edu" TargetMode="External"/><Relationship Id="rId21" Type="http://schemas.openxmlformats.org/officeDocument/2006/relationships/ctrlProp" Target="../ctrlProps/ctrlProp16.xml"/><Relationship Id="rId7" Type="http://schemas.openxmlformats.org/officeDocument/2006/relationships/drawing" Target="../drawings/drawing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hyperlink" Target="mailto:carsten.jahn@kit.edu" TargetMode="External"/><Relationship Id="rId16" Type="http://schemas.openxmlformats.org/officeDocument/2006/relationships/ctrlProp" Target="../ctrlProps/ctrlProp11.xml"/><Relationship Id="rId20" Type="http://schemas.openxmlformats.org/officeDocument/2006/relationships/ctrlProp" Target="../ctrlProps/ctrlProp15.xml"/><Relationship Id="rId1" Type="http://schemas.openxmlformats.org/officeDocument/2006/relationships/hyperlink" Target="mailto:carsten.jahn@kit.edu" TargetMode="External"/><Relationship Id="rId6" Type="http://schemas.openxmlformats.org/officeDocument/2006/relationships/printerSettings" Target="../printerSettings/printerSettings2.bin"/><Relationship Id="rId11" Type="http://schemas.openxmlformats.org/officeDocument/2006/relationships/ctrlProp" Target="../ctrlProps/ctrlProp6.xml"/><Relationship Id="rId5" Type="http://schemas.openxmlformats.org/officeDocument/2006/relationships/hyperlink" Target="mailto:benjamin.fersch@kit.edu" TargetMode="External"/><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ctrlProp" Target="../ctrlProps/ctrlProp14.xml"/><Relationship Id="rId4" Type="http://schemas.openxmlformats.org/officeDocument/2006/relationships/hyperlink" Target="mailto:carsten.jahn@kit.edu" TargetMode="Externa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trlProp" Target="../ctrlProps/ctrlProp17.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8.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2.xml"/><Relationship Id="rId3" Type="http://schemas.openxmlformats.org/officeDocument/2006/relationships/drawing" Target="../drawings/drawing4.xml"/><Relationship Id="rId7" Type="http://schemas.openxmlformats.org/officeDocument/2006/relationships/ctrlProp" Target="../ctrlProps/ctrlProp21.xml"/><Relationship Id="rId2" Type="http://schemas.openxmlformats.org/officeDocument/2006/relationships/printerSettings" Target="../printerSettings/printerSettings4.bin"/><Relationship Id="rId1" Type="http://schemas.openxmlformats.org/officeDocument/2006/relationships/hyperlink" Target="file:///\\smb-a.isilona.imk-ifu.kit.edu\rawdata\...." TargetMode="External"/><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vmlDrawing" Target="../drawings/vmlDrawing4.vml"/><Relationship Id="rId9" Type="http://schemas.openxmlformats.org/officeDocument/2006/relationships/ctrlProp" Target="../ctrlProps/ctrlProp2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tt1"/>
  <dimension ref="A1:IV24"/>
  <sheetViews>
    <sheetView zoomScale="150" workbookViewId="0">
      <selection activeCell="A23" sqref="A23"/>
    </sheetView>
  </sheetViews>
  <sheetFormatPr baseColWidth="10" defaultColWidth="10.85546875" defaultRowHeight="15"/>
  <cols>
    <col min="1" max="1" width="18.28515625" style="12" customWidth="1"/>
    <col min="2" max="3" width="10.85546875" style="12" customWidth="1"/>
    <col min="4" max="4" width="126" style="12" customWidth="1"/>
    <col min="5" max="16384" width="10.85546875" style="118"/>
  </cols>
  <sheetData>
    <row r="1" spans="1:256" s="119" customFormat="1" ht="27" customHeight="1">
      <c r="A1" s="115" t="s">
        <v>979</v>
      </c>
      <c r="B1" s="116"/>
      <c r="C1" s="116"/>
      <c r="D1" s="124"/>
      <c r="E1" s="122"/>
      <c r="F1" s="122"/>
      <c r="G1" s="122"/>
      <c r="H1" s="122"/>
      <c r="I1" s="122"/>
      <c r="J1" s="176"/>
      <c r="K1" s="176"/>
      <c r="L1" s="176"/>
      <c r="M1" s="176"/>
      <c r="N1" s="176"/>
      <c r="O1" s="176"/>
      <c r="P1" s="176"/>
      <c r="Q1" s="176"/>
      <c r="R1" s="176"/>
      <c r="S1" s="176"/>
      <c r="T1" s="176"/>
      <c r="U1" s="176"/>
      <c r="V1" s="176"/>
      <c r="W1" s="176"/>
      <c r="X1" s="176"/>
      <c r="Y1" s="176"/>
      <c r="Z1" s="176"/>
      <c r="AA1" s="176"/>
      <c r="AB1" s="176"/>
      <c r="AC1" s="176"/>
      <c r="AD1" s="176"/>
      <c r="AE1" s="176"/>
      <c r="AF1" s="176"/>
      <c r="AG1" s="176"/>
      <c r="AH1" s="176"/>
      <c r="AI1" s="176"/>
      <c r="AJ1" s="176"/>
      <c r="AK1" s="176"/>
      <c r="AL1" s="176"/>
      <c r="AM1" s="176"/>
      <c r="AN1" s="176"/>
      <c r="AO1" s="176"/>
      <c r="AP1" s="176"/>
      <c r="AQ1" s="176"/>
      <c r="AR1" s="176"/>
      <c r="AS1" s="176"/>
      <c r="AT1" s="176"/>
      <c r="AU1" s="176"/>
      <c r="AV1" s="176"/>
      <c r="AW1" s="176"/>
      <c r="AX1" s="176"/>
      <c r="AY1" s="176"/>
      <c r="AZ1" s="176"/>
      <c r="BA1" s="176"/>
      <c r="BB1" s="176"/>
      <c r="BC1" s="176"/>
      <c r="BD1" s="176"/>
      <c r="BE1" s="176"/>
      <c r="BF1" s="176"/>
      <c r="BG1" s="176"/>
      <c r="BH1" s="176"/>
      <c r="BI1" s="176"/>
      <c r="BJ1" s="176"/>
      <c r="BK1" s="176"/>
      <c r="BL1" s="176"/>
      <c r="BM1" s="176"/>
      <c r="BN1" s="176"/>
      <c r="BO1" s="176"/>
      <c r="BP1" s="176"/>
      <c r="BQ1" s="176"/>
      <c r="BR1" s="176"/>
      <c r="BS1" s="176"/>
      <c r="BT1" s="176"/>
      <c r="BU1" s="176"/>
      <c r="BV1" s="176"/>
      <c r="BW1" s="176"/>
      <c r="BX1" s="176"/>
      <c r="BY1" s="176"/>
      <c r="BZ1" s="176"/>
      <c r="CA1" s="176"/>
      <c r="CB1" s="176"/>
      <c r="CC1" s="176"/>
      <c r="CD1" s="176"/>
      <c r="CE1" s="176"/>
      <c r="CF1" s="176"/>
      <c r="CG1" s="176"/>
      <c r="CH1" s="176"/>
      <c r="CI1" s="176"/>
      <c r="CJ1" s="176"/>
      <c r="CK1" s="176"/>
      <c r="CL1" s="176"/>
      <c r="CM1" s="176"/>
      <c r="CN1" s="176"/>
      <c r="CO1" s="176"/>
      <c r="CP1" s="176"/>
      <c r="CQ1" s="176"/>
      <c r="CR1" s="176"/>
      <c r="CS1" s="176"/>
      <c r="CT1" s="176"/>
      <c r="CU1" s="176"/>
      <c r="CV1" s="176"/>
      <c r="CW1" s="176"/>
      <c r="CX1" s="176"/>
      <c r="CY1" s="176"/>
      <c r="CZ1" s="176"/>
      <c r="DA1" s="176"/>
      <c r="DB1" s="176"/>
      <c r="DC1" s="176"/>
      <c r="DD1" s="176"/>
      <c r="DE1" s="176"/>
      <c r="DF1" s="176"/>
      <c r="DG1" s="176"/>
      <c r="DH1" s="176"/>
      <c r="DI1" s="176"/>
      <c r="DJ1" s="176"/>
      <c r="DK1" s="176"/>
      <c r="DL1" s="176"/>
      <c r="DM1" s="176"/>
      <c r="DN1" s="176"/>
      <c r="DO1" s="176"/>
      <c r="DP1" s="176"/>
      <c r="DQ1" s="176"/>
      <c r="DR1" s="176"/>
      <c r="DS1" s="176"/>
      <c r="DT1" s="176"/>
      <c r="DU1" s="176"/>
      <c r="DV1" s="176"/>
      <c r="DW1" s="176"/>
      <c r="DX1" s="176"/>
      <c r="DY1" s="176"/>
      <c r="DZ1" s="176"/>
      <c r="EA1" s="176"/>
      <c r="EB1" s="176"/>
      <c r="EC1" s="176"/>
      <c r="ED1" s="176"/>
      <c r="EE1" s="176"/>
      <c r="EF1" s="176"/>
      <c r="EG1" s="176"/>
      <c r="EH1" s="176"/>
      <c r="EI1" s="176"/>
      <c r="EJ1" s="176"/>
      <c r="EK1" s="176"/>
      <c r="EL1" s="176"/>
      <c r="EM1" s="176"/>
      <c r="EN1" s="176"/>
      <c r="EO1" s="176"/>
      <c r="EP1" s="176"/>
      <c r="EQ1" s="176"/>
      <c r="ER1" s="176"/>
      <c r="ES1" s="176"/>
      <c r="ET1" s="176"/>
      <c r="EU1" s="176"/>
      <c r="EV1" s="176"/>
      <c r="EW1" s="176"/>
      <c r="EX1" s="176"/>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6"/>
      <c r="GC1" s="176"/>
      <c r="GD1" s="176"/>
      <c r="GE1" s="176"/>
      <c r="GF1" s="176"/>
      <c r="GG1" s="176"/>
      <c r="GH1" s="176"/>
      <c r="GI1" s="176"/>
      <c r="GJ1" s="176"/>
      <c r="GK1" s="176"/>
      <c r="GL1" s="176"/>
      <c r="GM1" s="176"/>
      <c r="GN1" s="176"/>
      <c r="GO1" s="176"/>
      <c r="GP1" s="176"/>
      <c r="GQ1" s="176"/>
      <c r="GR1" s="176"/>
      <c r="GS1" s="176"/>
      <c r="GT1" s="176"/>
      <c r="GU1" s="176"/>
      <c r="GV1" s="176"/>
      <c r="GW1" s="176"/>
      <c r="GX1" s="176"/>
      <c r="GY1" s="176"/>
      <c r="GZ1" s="176"/>
      <c r="HA1" s="176"/>
      <c r="HB1" s="176"/>
      <c r="HC1" s="176"/>
      <c r="HD1" s="176"/>
      <c r="HE1" s="176"/>
      <c r="HF1" s="176"/>
      <c r="HG1" s="176"/>
      <c r="HH1" s="176"/>
      <c r="HI1" s="176"/>
      <c r="HJ1" s="176"/>
      <c r="HK1" s="176"/>
      <c r="HL1" s="176"/>
      <c r="HM1" s="176"/>
      <c r="HN1" s="176"/>
      <c r="HO1" s="176"/>
      <c r="HP1" s="176"/>
      <c r="HQ1" s="176"/>
      <c r="HR1" s="176"/>
      <c r="HS1" s="176"/>
      <c r="HT1" s="176"/>
      <c r="HU1" s="176"/>
      <c r="HV1" s="176"/>
      <c r="HW1" s="176"/>
      <c r="HX1" s="176"/>
      <c r="HY1" s="176"/>
      <c r="HZ1" s="176"/>
      <c r="IA1" s="176"/>
      <c r="IB1" s="176"/>
      <c r="IC1" s="176"/>
      <c r="ID1" s="176"/>
      <c r="IE1" s="176"/>
      <c r="IF1" s="176"/>
      <c r="IG1" s="176"/>
      <c r="IH1" s="176"/>
      <c r="II1" s="176"/>
      <c r="IJ1" s="176"/>
      <c r="IK1" s="176"/>
      <c r="IL1" s="176"/>
      <c r="IM1" s="176"/>
      <c r="IN1" s="176"/>
      <c r="IO1" s="176"/>
      <c r="IP1" s="176"/>
      <c r="IQ1" s="176"/>
      <c r="IR1" s="176"/>
      <c r="IS1" s="176"/>
      <c r="IT1" s="176"/>
      <c r="IU1" s="176"/>
      <c r="IV1" s="176"/>
    </row>
    <row r="2" spans="1:256" s="120" customFormat="1" ht="29.1" customHeight="1">
      <c r="A2" s="125" t="s">
        <v>980</v>
      </c>
      <c r="B2" s="112"/>
      <c r="C2" s="112"/>
      <c r="D2" s="113"/>
      <c r="E2" s="123"/>
      <c r="F2" s="123"/>
      <c r="G2" s="123"/>
      <c r="H2" s="123"/>
      <c r="I2" s="123"/>
      <c r="J2" s="117"/>
      <c r="K2" s="175"/>
      <c r="L2" s="175"/>
      <c r="M2" s="175"/>
      <c r="N2" s="175"/>
      <c r="O2" s="175"/>
      <c r="P2" s="117"/>
      <c r="Q2" s="175"/>
      <c r="R2" s="175"/>
      <c r="S2" s="175"/>
      <c r="T2" s="175"/>
      <c r="U2" s="175"/>
      <c r="V2" s="117"/>
      <c r="W2" s="175"/>
      <c r="X2" s="175"/>
      <c r="Y2" s="175"/>
      <c r="Z2" s="175"/>
      <c r="AA2" s="175"/>
      <c r="AB2" s="117"/>
      <c r="AC2" s="175"/>
      <c r="AD2" s="175"/>
      <c r="AE2" s="175"/>
      <c r="AF2" s="175"/>
      <c r="AG2" s="175"/>
      <c r="AH2" s="117"/>
      <c r="AI2" s="175"/>
      <c r="AJ2" s="175"/>
      <c r="AK2" s="175"/>
      <c r="AL2" s="175"/>
      <c r="AM2" s="175"/>
      <c r="AN2" s="117"/>
      <c r="AO2" s="175"/>
      <c r="AP2" s="175"/>
      <c r="AQ2" s="175"/>
      <c r="AR2" s="175"/>
      <c r="AS2" s="175"/>
      <c r="AT2" s="117"/>
      <c r="AU2" s="175"/>
      <c r="AV2" s="175"/>
      <c r="AW2" s="175"/>
      <c r="AX2" s="175"/>
      <c r="AY2" s="175"/>
      <c r="AZ2" s="117"/>
      <c r="BA2" s="175"/>
      <c r="BB2" s="175"/>
      <c r="BC2" s="175"/>
      <c r="BD2" s="175"/>
      <c r="BE2" s="175"/>
      <c r="BF2" s="117"/>
      <c r="BG2" s="175"/>
      <c r="BH2" s="175"/>
      <c r="BI2" s="175"/>
      <c r="BJ2" s="175"/>
      <c r="BK2" s="175"/>
      <c r="BL2" s="117"/>
      <c r="BM2" s="175"/>
      <c r="BN2" s="175"/>
      <c r="BO2" s="175"/>
      <c r="BP2" s="175"/>
      <c r="BQ2" s="175"/>
      <c r="BR2" s="117"/>
      <c r="BS2" s="175"/>
      <c r="BT2" s="175"/>
      <c r="BU2" s="175"/>
      <c r="BV2" s="175"/>
      <c r="BW2" s="175"/>
      <c r="BX2" s="117"/>
      <c r="BY2" s="175"/>
      <c r="BZ2" s="175"/>
      <c r="CA2" s="175"/>
      <c r="CB2" s="175"/>
      <c r="CC2" s="175"/>
      <c r="CD2" s="117"/>
      <c r="CE2" s="175"/>
      <c r="CF2" s="175"/>
      <c r="CG2" s="175"/>
      <c r="CH2" s="175"/>
      <c r="CI2" s="175"/>
      <c r="CJ2" s="117"/>
      <c r="CK2" s="175"/>
      <c r="CL2" s="175"/>
      <c r="CM2" s="175"/>
      <c r="CN2" s="175"/>
      <c r="CO2" s="175"/>
      <c r="CP2" s="117"/>
      <c r="CQ2" s="175"/>
      <c r="CR2" s="175"/>
      <c r="CS2" s="175"/>
      <c r="CT2" s="175"/>
      <c r="CU2" s="175"/>
      <c r="CV2" s="117"/>
      <c r="CW2" s="175"/>
      <c r="CX2" s="175"/>
      <c r="CY2" s="175"/>
      <c r="CZ2" s="175"/>
      <c r="DA2" s="175"/>
      <c r="DB2" s="117"/>
      <c r="DC2" s="175"/>
      <c r="DD2" s="175"/>
      <c r="DE2" s="175"/>
      <c r="DF2" s="175"/>
      <c r="DG2" s="175"/>
      <c r="DH2" s="117"/>
      <c r="DI2" s="175"/>
      <c r="DJ2" s="175"/>
      <c r="DK2" s="175"/>
      <c r="DL2" s="175"/>
      <c r="DM2" s="175"/>
      <c r="DN2" s="117"/>
      <c r="DO2" s="175"/>
      <c r="DP2" s="175"/>
      <c r="DQ2" s="175"/>
      <c r="DR2" s="175"/>
      <c r="DS2" s="175"/>
      <c r="DT2" s="117"/>
      <c r="DU2" s="175"/>
      <c r="DV2" s="175"/>
      <c r="DW2" s="175"/>
      <c r="DX2" s="175"/>
      <c r="DY2" s="175"/>
      <c r="DZ2" s="117"/>
      <c r="EA2" s="175"/>
      <c r="EB2" s="175"/>
      <c r="EC2" s="175"/>
      <c r="ED2" s="175"/>
      <c r="EE2" s="175"/>
      <c r="EF2" s="117"/>
      <c r="EG2" s="175"/>
      <c r="EH2" s="175"/>
      <c r="EI2" s="175"/>
      <c r="EJ2" s="175"/>
      <c r="EK2" s="175"/>
      <c r="EL2" s="117"/>
      <c r="EM2" s="175"/>
      <c r="EN2" s="175"/>
      <c r="EO2" s="175"/>
      <c r="EP2" s="175"/>
      <c r="EQ2" s="175"/>
      <c r="ER2" s="117"/>
      <c r="ES2" s="175"/>
      <c r="ET2" s="175"/>
      <c r="EU2" s="175"/>
      <c r="EV2" s="175"/>
      <c r="EW2" s="175"/>
      <c r="EX2" s="117"/>
      <c r="EY2" s="175"/>
      <c r="EZ2" s="175"/>
      <c r="FA2" s="175"/>
      <c r="FB2" s="175"/>
      <c r="FC2" s="175"/>
      <c r="FD2" s="117"/>
      <c r="FE2" s="175"/>
      <c r="FF2" s="175"/>
      <c r="FG2" s="175"/>
      <c r="FH2" s="175"/>
      <c r="FI2" s="175"/>
      <c r="FJ2" s="117"/>
      <c r="FK2" s="175"/>
      <c r="FL2" s="175"/>
      <c r="FM2" s="175"/>
      <c r="FN2" s="175"/>
      <c r="FO2" s="175"/>
      <c r="FP2" s="117"/>
      <c r="FQ2" s="175"/>
      <c r="FR2" s="175"/>
      <c r="FS2" s="175"/>
      <c r="FT2" s="175"/>
      <c r="FU2" s="175"/>
      <c r="FV2" s="117"/>
      <c r="FW2" s="175"/>
      <c r="FX2" s="175"/>
      <c r="FY2" s="175"/>
      <c r="FZ2" s="175"/>
      <c r="GA2" s="175"/>
      <c r="GB2" s="117"/>
      <c r="GC2" s="175"/>
      <c r="GD2" s="175"/>
      <c r="GE2" s="175"/>
      <c r="GF2" s="175"/>
      <c r="GG2" s="175"/>
      <c r="GH2" s="117"/>
      <c r="GI2" s="175"/>
      <c r="GJ2" s="175"/>
      <c r="GK2" s="175"/>
      <c r="GL2" s="175"/>
      <c r="GM2" s="175"/>
      <c r="GN2" s="117"/>
      <c r="GO2" s="175"/>
      <c r="GP2" s="175"/>
      <c r="GQ2" s="175"/>
      <c r="GR2" s="175"/>
      <c r="GS2" s="175"/>
      <c r="GT2" s="117"/>
      <c r="GU2" s="175"/>
      <c r="GV2" s="175"/>
      <c r="GW2" s="175"/>
      <c r="GX2" s="175"/>
      <c r="GY2" s="175"/>
      <c r="GZ2" s="117"/>
      <c r="HA2" s="175"/>
      <c r="HB2" s="175"/>
      <c r="HC2" s="175"/>
      <c r="HD2" s="175"/>
      <c r="HE2" s="175"/>
      <c r="HF2" s="117"/>
      <c r="HG2" s="175"/>
      <c r="HH2" s="175"/>
      <c r="HI2" s="175"/>
      <c r="HJ2" s="175"/>
      <c r="HK2" s="175"/>
      <c r="HL2" s="117"/>
      <c r="HM2" s="175"/>
      <c r="HN2" s="175"/>
      <c r="HO2" s="175"/>
      <c r="HP2" s="175"/>
      <c r="HQ2" s="175"/>
      <c r="HR2" s="117"/>
      <c r="HS2" s="175"/>
      <c r="HT2" s="175"/>
      <c r="HU2" s="175"/>
      <c r="HV2" s="175"/>
      <c r="HW2" s="175"/>
      <c r="HX2" s="117"/>
      <c r="HY2" s="175"/>
      <c r="HZ2" s="175"/>
      <c r="IA2" s="175"/>
      <c r="IB2" s="175"/>
      <c r="IC2" s="175"/>
      <c r="ID2" s="117"/>
      <c r="IE2" s="175"/>
      <c r="IF2" s="175"/>
      <c r="IG2" s="175"/>
      <c r="IH2" s="175"/>
      <c r="II2" s="175"/>
      <c r="IJ2" s="117"/>
      <c r="IK2" s="175"/>
      <c r="IL2" s="175"/>
      <c r="IM2" s="175"/>
      <c r="IN2" s="175"/>
      <c r="IO2" s="175"/>
      <c r="IP2" s="117"/>
      <c r="IQ2" s="175"/>
      <c r="IR2" s="175"/>
      <c r="IS2" s="175"/>
      <c r="IT2" s="175"/>
      <c r="IU2" s="175"/>
      <c r="IV2" s="117"/>
    </row>
    <row r="3" spans="1:256" s="120" customFormat="1" ht="29.1" customHeight="1">
      <c r="A3" s="125" t="s">
        <v>982</v>
      </c>
      <c r="B3" s="112"/>
      <c r="C3" s="112"/>
      <c r="D3" s="113"/>
      <c r="E3" s="123"/>
      <c r="F3" s="123"/>
      <c r="G3" s="123"/>
      <c r="H3" s="123"/>
      <c r="I3" s="123"/>
      <c r="J3" s="117"/>
      <c r="K3" s="175"/>
      <c r="L3" s="175"/>
      <c r="M3" s="175"/>
      <c r="N3" s="175"/>
      <c r="O3" s="175"/>
      <c r="P3" s="117"/>
      <c r="Q3" s="175"/>
      <c r="R3" s="175"/>
      <c r="S3" s="175"/>
      <c r="T3" s="175"/>
      <c r="U3" s="175"/>
      <c r="V3" s="117"/>
      <c r="W3" s="175"/>
      <c r="X3" s="175"/>
      <c r="Y3" s="175"/>
      <c r="Z3" s="175"/>
      <c r="AA3" s="175"/>
      <c r="AB3" s="117"/>
      <c r="AC3" s="175"/>
      <c r="AD3" s="175"/>
      <c r="AE3" s="175"/>
      <c r="AF3" s="175"/>
      <c r="AG3" s="175"/>
      <c r="AH3" s="117"/>
      <c r="AI3" s="175"/>
      <c r="AJ3" s="175"/>
      <c r="AK3" s="175"/>
      <c r="AL3" s="175"/>
      <c r="AM3" s="175"/>
      <c r="AN3" s="117"/>
      <c r="AO3" s="175"/>
      <c r="AP3" s="175"/>
      <c r="AQ3" s="175"/>
      <c r="AR3" s="175"/>
      <c r="AS3" s="175"/>
      <c r="AT3" s="117"/>
      <c r="AU3" s="175"/>
      <c r="AV3" s="175"/>
      <c r="AW3" s="175"/>
      <c r="AX3" s="175"/>
      <c r="AY3" s="175"/>
      <c r="AZ3" s="117"/>
      <c r="BA3" s="175"/>
      <c r="BB3" s="175"/>
      <c r="BC3" s="175"/>
      <c r="BD3" s="175"/>
      <c r="BE3" s="175"/>
      <c r="BF3" s="117"/>
      <c r="BG3" s="175"/>
      <c r="BH3" s="175"/>
      <c r="BI3" s="175"/>
      <c r="BJ3" s="175"/>
      <c r="BK3" s="175"/>
      <c r="BL3" s="117"/>
      <c r="BM3" s="175"/>
      <c r="BN3" s="175"/>
      <c r="BO3" s="175"/>
      <c r="BP3" s="175"/>
      <c r="BQ3" s="175"/>
      <c r="BR3" s="117"/>
      <c r="BS3" s="175"/>
      <c r="BT3" s="175"/>
      <c r="BU3" s="175"/>
      <c r="BV3" s="175"/>
      <c r="BW3" s="175"/>
      <c r="BX3" s="117"/>
      <c r="BY3" s="175"/>
      <c r="BZ3" s="175"/>
      <c r="CA3" s="175"/>
      <c r="CB3" s="175"/>
      <c r="CC3" s="175"/>
      <c r="CD3" s="117"/>
      <c r="CE3" s="175"/>
      <c r="CF3" s="175"/>
      <c r="CG3" s="175"/>
      <c r="CH3" s="175"/>
      <c r="CI3" s="175"/>
      <c r="CJ3" s="117"/>
      <c r="CK3" s="175"/>
      <c r="CL3" s="175"/>
      <c r="CM3" s="175"/>
      <c r="CN3" s="175"/>
      <c r="CO3" s="175"/>
      <c r="CP3" s="117"/>
      <c r="CQ3" s="175"/>
      <c r="CR3" s="175"/>
      <c r="CS3" s="175"/>
      <c r="CT3" s="175"/>
      <c r="CU3" s="175"/>
      <c r="CV3" s="117"/>
      <c r="CW3" s="175"/>
      <c r="CX3" s="175"/>
      <c r="CY3" s="175"/>
      <c r="CZ3" s="175"/>
      <c r="DA3" s="175"/>
      <c r="DB3" s="117"/>
      <c r="DC3" s="175"/>
      <c r="DD3" s="175"/>
      <c r="DE3" s="175"/>
      <c r="DF3" s="175"/>
      <c r="DG3" s="175"/>
      <c r="DH3" s="117"/>
      <c r="DI3" s="175"/>
      <c r="DJ3" s="175"/>
      <c r="DK3" s="175"/>
      <c r="DL3" s="175"/>
      <c r="DM3" s="175"/>
      <c r="DN3" s="117"/>
      <c r="DO3" s="175"/>
      <c r="DP3" s="175"/>
      <c r="DQ3" s="175"/>
      <c r="DR3" s="175"/>
      <c r="DS3" s="175"/>
      <c r="DT3" s="117"/>
      <c r="DU3" s="175"/>
      <c r="DV3" s="175"/>
      <c r="DW3" s="175"/>
      <c r="DX3" s="175"/>
      <c r="DY3" s="175"/>
      <c r="DZ3" s="117"/>
      <c r="EA3" s="175"/>
      <c r="EB3" s="175"/>
      <c r="EC3" s="175"/>
      <c r="ED3" s="175"/>
      <c r="EE3" s="175"/>
      <c r="EF3" s="117"/>
      <c r="EG3" s="175"/>
      <c r="EH3" s="175"/>
      <c r="EI3" s="175"/>
      <c r="EJ3" s="175"/>
      <c r="EK3" s="175"/>
      <c r="EL3" s="117"/>
      <c r="EM3" s="175"/>
      <c r="EN3" s="175"/>
      <c r="EO3" s="175"/>
      <c r="EP3" s="175"/>
      <c r="EQ3" s="175"/>
      <c r="ER3" s="117"/>
      <c r="ES3" s="175"/>
      <c r="ET3" s="175"/>
      <c r="EU3" s="175"/>
      <c r="EV3" s="175"/>
      <c r="EW3" s="175"/>
      <c r="EX3" s="117"/>
      <c r="EY3" s="175"/>
      <c r="EZ3" s="175"/>
      <c r="FA3" s="175"/>
      <c r="FB3" s="175"/>
      <c r="FC3" s="175"/>
      <c r="FD3" s="117"/>
      <c r="FE3" s="175"/>
      <c r="FF3" s="175"/>
      <c r="FG3" s="175"/>
      <c r="FH3" s="175"/>
      <c r="FI3" s="175"/>
      <c r="FJ3" s="117"/>
      <c r="FK3" s="175"/>
      <c r="FL3" s="175"/>
      <c r="FM3" s="175"/>
      <c r="FN3" s="175"/>
      <c r="FO3" s="175"/>
      <c r="FP3" s="117"/>
      <c r="FQ3" s="175"/>
      <c r="FR3" s="175"/>
      <c r="FS3" s="175"/>
      <c r="FT3" s="175"/>
      <c r="FU3" s="175"/>
      <c r="FV3" s="117"/>
      <c r="FW3" s="175"/>
      <c r="FX3" s="175"/>
      <c r="FY3" s="175"/>
      <c r="FZ3" s="175"/>
      <c r="GA3" s="175"/>
      <c r="GB3" s="117"/>
      <c r="GC3" s="175"/>
      <c r="GD3" s="175"/>
      <c r="GE3" s="175"/>
      <c r="GF3" s="175"/>
      <c r="GG3" s="175"/>
      <c r="GH3" s="117"/>
      <c r="GI3" s="175"/>
      <c r="GJ3" s="175"/>
      <c r="GK3" s="175"/>
      <c r="GL3" s="175"/>
      <c r="GM3" s="175"/>
      <c r="GN3" s="117"/>
      <c r="GO3" s="175"/>
      <c r="GP3" s="175"/>
      <c r="GQ3" s="175"/>
      <c r="GR3" s="175"/>
      <c r="GS3" s="175"/>
      <c r="GT3" s="117"/>
      <c r="GU3" s="175"/>
      <c r="GV3" s="175"/>
      <c r="GW3" s="175"/>
      <c r="GX3" s="175"/>
      <c r="GY3" s="175"/>
      <c r="GZ3" s="117"/>
      <c r="HA3" s="175"/>
      <c r="HB3" s="175"/>
      <c r="HC3" s="175"/>
      <c r="HD3" s="175"/>
      <c r="HE3" s="175"/>
      <c r="HF3" s="117"/>
      <c r="HG3" s="175"/>
      <c r="HH3" s="175"/>
      <c r="HI3" s="175"/>
      <c r="HJ3" s="175"/>
      <c r="HK3" s="175"/>
      <c r="HL3" s="117"/>
      <c r="HM3" s="175"/>
      <c r="HN3" s="175"/>
      <c r="HO3" s="175"/>
      <c r="HP3" s="175"/>
      <c r="HQ3" s="175"/>
      <c r="HR3" s="117"/>
      <c r="HS3" s="175"/>
      <c r="HT3" s="175"/>
      <c r="HU3" s="175"/>
      <c r="HV3" s="175"/>
      <c r="HW3" s="175"/>
      <c r="HX3" s="117"/>
      <c r="HY3" s="175"/>
      <c r="HZ3" s="175"/>
      <c r="IA3" s="175"/>
      <c r="IB3" s="175"/>
      <c r="IC3" s="175"/>
      <c r="ID3" s="117"/>
      <c r="IE3" s="175"/>
      <c r="IF3" s="175"/>
      <c r="IG3" s="175"/>
      <c r="IH3" s="175"/>
      <c r="II3" s="175"/>
      <c r="IJ3" s="117"/>
      <c r="IK3" s="175"/>
      <c r="IL3" s="175"/>
      <c r="IM3" s="175"/>
      <c r="IN3" s="175"/>
      <c r="IO3" s="175"/>
      <c r="IP3" s="117"/>
      <c r="IQ3" s="175"/>
      <c r="IR3" s="175"/>
      <c r="IS3" s="175"/>
      <c r="IT3" s="175"/>
      <c r="IU3" s="175"/>
      <c r="IV3" s="117"/>
    </row>
    <row r="4" spans="1:256" s="120" customFormat="1" ht="29.1" customHeight="1">
      <c r="A4" s="125" t="s">
        <v>983</v>
      </c>
      <c r="B4" s="112"/>
      <c r="C4" s="112"/>
      <c r="D4" s="113"/>
      <c r="E4" s="123"/>
      <c r="F4" s="123"/>
      <c r="G4" s="123"/>
      <c r="H4" s="123"/>
      <c r="I4" s="123"/>
      <c r="J4" s="117"/>
      <c r="K4" s="175"/>
      <c r="L4" s="175"/>
      <c r="M4" s="175"/>
      <c r="N4" s="175"/>
      <c r="O4" s="175"/>
      <c r="P4" s="117"/>
      <c r="Q4" s="175"/>
      <c r="R4" s="175"/>
      <c r="S4" s="175"/>
      <c r="T4" s="175"/>
      <c r="U4" s="175"/>
      <c r="V4" s="117"/>
      <c r="W4" s="175"/>
      <c r="X4" s="175"/>
      <c r="Y4" s="175"/>
      <c r="Z4" s="175"/>
      <c r="AA4" s="175"/>
      <c r="AB4" s="117"/>
      <c r="AC4" s="175"/>
      <c r="AD4" s="175"/>
      <c r="AE4" s="175"/>
      <c r="AF4" s="175"/>
      <c r="AG4" s="175"/>
      <c r="AH4" s="117"/>
      <c r="AI4" s="175"/>
      <c r="AJ4" s="175"/>
      <c r="AK4" s="175"/>
      <c r="AL4" s="175"/>
      <c r="AM4" s="175"/>
      <c r="AN4" s="117"/>
      <c r="AO4" s="175"/>
      <c r="AP4" s="175"/>
      <c r="AQ4" s="175"/>
      <c r="AR4" s="175"/>
      <c r="AS4" s="175"/>
      <c r="AT4" s="117"/>
      <c r="AU4" s="175"/>
      <c r="AV4" s="175"/>
      <c r="AW4" s="175"/>
      <c r="AX4" s="175"/>
      <c r="AY4" s="175"/>
      <c r="AZ4" s="117"/>
      <c r="BA4" s="175"/>
      <c r="BB4" s="175"/>
      <c r="BC4" s="175"/>
      <c r="BD4" s="175"/>
      <c r="BE4" s="175"/>
      <c r="BF4" s="117"/>
      <c r="BG4" s="175"/>
      <c r="BH4" s="175"/>
      <c r="BI4" s="175"/>
      <c r="BJ4" s="175"/>
      <c r="BK4" s="175"/>
      <c r="BL4" s="117"/>
      <c r="BM4" s="175"/>
      <c r="BN4" s="175"/>
      <c r="BO4" s="175"/>
      <c r="BP4" s="175"/>
      <c r="BQ4" s="175"/>
      <c r="BR4" s="117"/>
      <c r="BS4" s="175"/>
      <c r="BT4" s="175"/>
      <c r="BU4" s="175"/>
      <c r="BV4" s="175"/>
      <c r="BW4" s="175"/>
      <c r="BX4" s="117"/>
      <c r="BY4" s="175"/>
      <c r="BZ4" s="175"/>
      <c r="CA4" s="175"/>
      <c r="CB4" s="175"/>
      <c r="CC4" s="175"/>
      <c r="CD4" s="117"/>
      <c r="CE4" s="175"/>
      <c r="CF4" s="175"/>
      <c r="CG4" s="175"/>
      <c r="CH4" s="175"/>
      <c r="CI4" s="175"/>
      <c r="CJ4" s="117"/>
      <c r="CK4" s="175"/>
      <c r="CL4" s="175"/>
      <c r="CM4" s="175"/>
      <c r="CN4" s="175"/>
      <c r="CO4" s="175"/>
      <c r="CP4" s="117"/>
      <c r="CQ4" s="175"/>
      <c r="CR4" s="175"/>
      <c r="CS4" s="175"/>
      <c r="CT4" s="175"/>
      <c r="CU4" s="175"/>
      <c r="CV4" s="117"/>
      <c r="CW4" s="175"/>
      <c r="CX4" s="175"/>
      <c r="CY4" s="175"/>
      <c r="CZ4" s="175"/>
      <c r="DA4" s="175"/>
      <c r="DB4" s="117"/>
      <c r="DC4" s="175"/>
      <c r="DD4" s="175"/>
      <c r="DE4" s="175"/>
      <c r="DF4" s="175"/>
      <c r="DG4" s="175"/>
      <c r="DH4" s="117"/>
      <c r="DI4" s="175"/>
      <c r="DJ4" s="175"/>
      <c r="DK4" s="175"/>
      <c r="DL4" s="175"/>
      <c r="DM4" s="175"/>
      <c r="DN4" s="117"/>
      <c r="DO4" s="175"/>
      <c r="DP4" s="175"/>
      <c r="DQ4" s="175"/>
      <c r="DR4" s="175"/>
      <c r="DS4" s="175"/>
      <c r="DT4" s="117"/>
      <c r="DU4" s="175"/>
      <c r="DV4" s="175"/>
      <c r="DW4" s="175"/>
      <c r="DX4" s="175"/>
      <c r="DY4" s="175"/>
      <c r="DZ4" s="117"/>
      <c r="EA4" s="175"/>
      <c r="EB4" s="175"/>
      <c r="EC4" s="175"/>
      <c r="ED4" s="175"/>
      <c r="EE4" s="175"/>
      <c r="EF4" s="117"/>
      <c r="EG4" s="175"/>
      <c r="EH4" s="175"/>
      <c r="EI4" s="175"/>
      <c r="EJ4" s="175"/>
      <c r="EK4" s="175"/>
      <c r="EL4" s="117"/>
      <c r="EM4" s="175"/>
      <c r="EN4" s="175"/>
      <c r="EO4" s="175"/>
      <c r="EP4" s="175"/>
      <c r="EQ4" s="175"/>
      <c r="ER4" s="117"/>
      <c r="ES4" s="175"/>
      <c r="ET4" s="175"/>
      <c r="EU4" s="175"/>
      <c r="EV4" s="175"/>
      <c r="EW4" s="175"/>
      <c r="EX4" s="117"/>
      <c r="EY4" s="175"/>
      <c r="EZ4" s="175"/>
      <c r="FA4" s="175"/>
      <c r="FB4" s="175"/>
      <c r="FC4" s="175"/>
      <c r="FD4" s="117"/>
      <c r="FE4" s="175"/>
      <c r="FF4" s="175"/>
      <c r="FG4" s="175"/>
      <c r="FH4" s="175"/>
      <c r="FI4" s="175"/>
      <c r="FJ4" s="117"/>
      <c r="FK4" s="175"/>
      <c r="FL4" s="175"/>
      <c r="FM4" s="175"/>
      <c r="FN4" s="175"/>
      <c r="FO4" s="175"/>
      <c r="FP4" s="117"/>
      <c r="FQ4" s="175"/>
      <c r="FR4" s="175"/>
      <c r="FS4" s="175"/>
      <c r="FT4" s="175"/>
      <c r="FU4" s="175"/>
      <c r="FV4" s="117"/>
      <c r="FW4" s="175"/>
      <c r="FX4" s="175"/>
      <c r="FY4" s="175"/>
      <c r="FZ4" s="175"/>
      <c r="GA4" s="175"/>
      <c r="GB4" s="117"/>
      <c r="GC4" s="175"/>
      <c r="GD4" s="175"/>
      <c r="GE4" s="175"/>
      <c r="GF4" s="175"/>
      <c r="GG4" s="175"/>
      <c r="GH4" s="117"/>
      <c r="GI4" s="175"/>
      <c r="GJ4" s="175"/>
      <c r="GK4" s="175"/>
      <c r="GL4" s="175"/>
      <c r="GM4" s="175"/>
      <c r="GN4" s="117"/>
      <c r="GO4" s="175"/>
      <c r="GP4" s="175"/>
      <c r="GQ4" s="175"/>
      <c r="GR4" s="175"/>
      <c r="GS4" s="175"/>
      <c r="GT4" s="117"/>
      <c r="GU4" s="175"/>
      <c r="GV4" s="175"/>
      <c r="GW4" s="175"/>
      <c r="GX4" s="175"/>
      <c r="GY4" s="175"/>
      <c r="GZ4" s="117"/>
      <c r="HA4" s="175"/>
      <c r="HB4" s="175"/>
      <c r="HC4" s="175"/>
      <c r="HD4" s="175"/>
      <c r="HE4" s="175"/>
      <c r="HF4" s="117"/>
      <c r="HG4" s="175"/>
      <c r="HH4" s="175"/>
      <c r="HI4" s="175"/>
      <c r="HJ4" s="175"/>
      <c r="HK4" s="175"/>
      <c r="HL4" s="117"/>
      <c r="HM4" s="175"/>
      <c r="HN4" s="175"/>
      <c r="HO4" s="175"/>
      <c r="HP4" s="175"/>
      <c r="HQ4" s="175"/>
      <c r="HR4" s="117"/>
      <c r="HS4" s="175"/>
      <c r="HT4" s="175"/>
      <c r="HU4" s="175"/>
      <c r="HV4" s="175"/>
      <c r="HW4" s="175"/>
      <c r="HX4" s="117"/>
      <c r="HY4" s="175"/>
      <c r="HZ4" s="175"/>
      <c r="IA4" s="175"/>
      <c r="IB4" s="175"/>
      <c r="IC4" s="175"/>
      <c r="ID4" s="117"/>
      <c r="IE4" s="175"/>
      <c r="IF4" s="175"/>
      <c r="IG4" s="175"/>
      <c r="IH4" s="175"/>
      <c r="II4" s="175"/>
      <c r="IJ4" s="117"/>
      <c r="IK4" s="175"/>
      <c r="IL4" s="175"/>
      <c r="IM4" s="175"/>
      <c r="IN4" s="175"/>
      <c r="IO4" s="175"/>
      <c r="IP4" s="117"/>
      <c r="IQ4" s="175"/>
      <c r="IR4" s="175"/>
      <c r="IS4" s="175"/>
      <c r="IT4" s="175"/>
      <c r="IU4" s="175"/>
      <c r="IV4" s="117"/>
    </row>
    <row r="5" spans="1:256" s="120" customFormat="1" ht="29.1" customHeight="1">
      <c r="A5" s="125" t="s">
        <v>984</v>
      </c>
      <c r="B5" s="112"/>
      <c r="C5" s="112"/>
      <c r="D5" s="113"/>
      <c r="E5" s="123"/>
      <c r="F5" s="123"/>
      <c r="G5" s="123"/>
      <c r="H5" s="123"/>
      <c r="I5" s="123"/>
      <c r="J5" s="117"/>
      <c r="K5" s="175"/>
      <c r="L5" s="175"/>
      <c r="M5" s="175"/>
      <c r="N5" s="175"/>
      <c r="O5" s="175"/>
      <c r="P5" s="117"/>
      <c r="Q5" s="175"/>
      <c r="R5" s="175"/>
      <c r="S5" s="175"/>
      <c r="T5" s="175"/>
      <c r="U5" s="175"/>
      <c r="V5" s="117"/>
      <c r="W5" s="175"/>
      <c r="X5" s="175"/>
      <c r="Y5" s="175"/>
      <c r="Z5" s="175"/>
      <c r="AA5" s="175"/>
      <c r="AB5" s="117"/>
      <c r="AC5" s="175"/>
      <c r="AD5" s="175"/>
      <c r="AE5" s="175"/>
      <c r="AF5" s="175"/>
      <c r="AG5" s="175"/>
      <c r="AH5" s="117"/>
      <c r="AI5" s="175"/>
      <c r="AJ5" s="175"/>
      <c r="AK5" s="175"/>
      <c r="AL5" s="175"/>
      <c r="AM5" s="175"/>
      <c r="AN5" s="117"/>
      <c r="AO5" s="175"/>
      <c r="AP5" s="175"/>
      <c r="AQ5" s="175"/>
      <c r="AR5" s="175"/>
      <c r="AS5" s="175"/>
      <c r="AT5" s="117"/>
      <c r="AU5" s="175"/>
      <c r="AV5" s="175"/>
      <c r="AW5" s="175"/>
      <c r="AX5" s="175"/>
      <c r="AY5" s="175"/>
      <c r="AZ5" s="117"/>
      <c r="BA5" s="175"/>
      <c r="BB5" s="175"/>
      <c r="BC5" s="175"/>
      <c r="BD5" s="175"/>
      <c r="BE5" s="175"/>
      <c r="BF5" s="117"/>
      <c r="BG5" s="175"/>
      <c r="BH5" s="175"/>
      <c r="BI5" s="175"/>
      <c r="BJ5" s="175"/>
      <c r="BK5" s="175"/>
      <c r="BL5" s="117"/>
      <c r="BM5" s="175"/>
      <c r="BN5" s="175"/>
      <c r="BO5" s="175"/>
      <c r="BP5" s="175"/>
      <c r="BQ5" s="175"/>
      <c r="BR5" s="117"/>
      <c r="BS5" s="175"/>
      <c r="BT5" s="175"/>
      <c r="BU5" s="175"/>
      <c r="BV5" s="175"/>
      <c r="BW5" s="175"/>
      <c r="BX5" s="117"/>
      <c r="BY5" s="175"/>
      <c r="BZ5" s="175"/>
      <c r="CA5" s="175"/>
      <c r="CB5" s="175"/>
      <c r="CC5" s="175"/>
      <c r="CD5" s="117"/>
      <c r="CE5" s="175"/>
      <c r="CF5" s="175"/>
      <c r="CG5" s="175"/>
      <c r="CH5" s="175"/>
      <c r="CI5" s="175"/>
      <c r="CJ5" s="117"/>
      <c r="CK5" s="175"/>
      <c r="CL5" s="175"/>
      <c r="CM5" s="175"/>
      <c r="CN5" s="175"/>
      <c r="CO5" s="175"/>
      <c r="CP5" s="117"/>
      <c r="CQ5" s="175"/>
      <c r="CR5" s="175"/>
      <c r="CS5" s="175"/>
      <c r="CT5" s="175"/>
      <c r="CU5" s="175"/>
      <c r="CV5" s="117"/>
      <c r="CW5" s="175"/>
      <c r="CX5" s="175"/>
      <c r="CY5" s="175"/>
      <c r="CZ5" s="175"/>
      <c r="DA5" s="175"/>
      <c r="DB5" s="117"/>
      <c r="DC5" s="175"/>
      <c r="DD5" s="175"/>
      <c r="DE5" s="175"/>
      <c r="DF5" s="175"/>
      <c r="DG5" s="175"/>
      <c r="DH5" s="117"/>
      <c r="DI5" s="175"/>
      <c r="DJ5" s="175"/>
      <c r="DK5" s="175"/>
      <c r="DL5" s="175"/>
      <c r="DM5" s="175"/>
      <c r="DN5" s="117"/>
      <c r="DO5" s="175"/>
      <c r="DP5" s="175"/>
      <c r="DQ5" s="175"/>
      <c r="DR5" s="175"/>
      <c r="DS5" s="175"/>
      <c r="DT5" s="117"/>
      <c r="DU5" s="175"/>
      <c r="DV5" s="175"/>
      <c r="DW5" s="175"/>
      <c r="DX5" s="175"/>
      <c r="DY5" s="175"/>
      <c r="DZ5" s="117"/>
      <c r="EA5" s="175"/>
      <c r="EB5" s="175"/>
      <c r="EC5" s="175"/>
      <c r="ED5" s="175"/>
      <c r="EE5" s="175"/>
      <c r="EF5" s="117"/>
      <c r="EG5" s="175"/>
      <c r="EH5" s="175"/>
      <c r="EI5" s="175"/>
      <c r="EJ5" s="175"/>
      <c r="EK5" s="175"/>
      <c r="EL5" s="117"/>
      <c r="EM5" s="175"/>
      <c r="EN5" s="175"/>
      <c r="EO5" s="175"/>
      <c r="EP5" s="175"/>
      <c r="EQ5" s="175"/>
      <c r="ER5" s="117"/>
      <c r="ES5" s="175"/>
      <c r="ET5" s="175"/>
      <c r="EU5" s="175"/>
      <c r="EV5" s="175"/>
      <c r="EW5" s="175"/>
      <c r="EX5" s="117"/>
      <c r="EY5" s="175"/>
      <c r="EZ5" s="175"/>
      <c r="FA5" s="175"/>
      <c r="FB5" s="175"/>
      <c r="FC5" s="175"/>
      <c r="FD5" s="117"/>
      <c r="FE5" s="175"/>
      <c r="FF5" s="175"/>
      <c r="FG5" s="175"/>
      <c r="FH5" s="175"/>
      <c r="FI5" s="175"/>
      <c r="FJ5" s="117"/>
      <c r="FK5" s="175"/>
      <c r="FL5" s="175"/>
      <c r="FM5" s="175"/>
      <c r="FN5" s="175"/>
      <c r="FO5" s="175"/>
      <c r="FP5" s="117"/>
      <c r="FQ5" s="175"/>
      <c r="FR5" s="175"/>
      <c r="FS5" s="175"/>
      <c r="FT5" s="175"/>
      <c r="FU5" s="175"/>
      <c r="FV5" s="117"/>
      <c r="FW5" s="175"/>
      <c r="FX5" s="175"/>
      <c r="FY5" s="175"/>
      <c r="FZ5" s="175"/>
      <c r="GA5" s="175"/>
      <c r="GB5" s="117"/>
      <c r="GC5" s="175"/>
      <c r="GD5" s="175"/>
      <c r="GE5" s="175"/>
      <c r="GF5" s="175"/>
      <c r="GG5" s="175"/>
      <c r="GH5" s="117"/>
      <c r="GI5" s="175"/>
      <c r="GJ5" s="175"/>
      <c r="GK5" s="175"/>
      <c r="GL5" s="175"/>
      <c r="GM5" s="175"/>
      <c r="GN5" s="117"/>
      <c r="GO5" s="175"/>
      <c r="GP5" s="175"/>
      <c r="GQ5" s="175"/>
      <c r="GR5" s="175"/>
      <c r="GS5" s="175"/>
      <c r="GT5" s="117"/>
      <c r="GU5" s="175"/>
      <c r="GV5" s="175"/>
      <c r="GW5" s="175"/>
      <c r="GX5" s="175"/>
      <c r="GY5" s="175"/>
      <c r="GZ5" s="117"/>
      <c r="HA5" s="175"/>
      <c r="HB5" s="175"/>
      <c r="HC5" s="175"/>
      <c r="HD5" s="175"/>
      <c r="HE5" s="175"/>
      <c r="HF5" s="117"/>
      <c r="HG5" s="175"/>
      <c r="HH5" s="175"/>
      <c r="HI5" s="175"/>
      <c r="HJ5" s="175"/>
      <c r="HK5" s="175"/>
      <c r="HL5" s="117"/>
      <c r="HM5" s="175"/>
      <c r="HN5" s="175"/>
      <c r="HO5" s="175"/>
      <c r="HP5" s="175"/>
      <c r="HQ5" s="175"/>
      <c r="HR5" s="117"/>
      <c r="HS5" s="175"/>
      <c r="HT5" s="175"/>
      <c r="HU5" s="175"/>
      <c r="HV5" s="175"/>
      <c r="HW5" s="175"/>
      <c r="HX5" s="117"/>
      <c r="HY5" s="175"/>
      <c r="HZ5" s="175"/>
      <c r="IA5" s="175"/>
      <c r="IB5" s="175"/>
      <c r="IC5" s="175"/>
      <c r="ID5" s="117"/>
      <c r="IE5" s="175"/>
      <c r="IF5" s="175"/>
      <c r="IG5" s="175"/>
      <c r="IH5" s="175"/>
      <c r="II5" s="175"/>
      <c r="IJ5" s="117"/>
      <c r="IK5" s="175"/>
      <c r="IL5" s="175"/>
      <c r="IM5" s="175"/>
      <c r="IN5" s="175"/>
      <c r="IO5" s="175"/>
      <c r="IP5" s="117"/>
      <c r="IQ5" s="175"/>
      <c r="IR5" s="175"/>
      <c r="IS5" s="175"/>
      <c r="IT5" s="175"/>
      <c r="IU5" s="175"/>
      <c r="IV5" s="117"/>
    </row>
    <row r="6" spans="1:256" s="119" customFormat="1" ht="39.950000000000003" customHeight="1">
      <c r="A6" s="172" t="s">
        <v>985</v>
      </c>
      <c r="B6" s="173"/>
      <c r="C6" s="173"/>
      <c r="D6" s="174"/>
      <c r="E6" s="122"/>
      <c r="F6" s="122"/>
      <c r="G6" s="122"/>
      <c r="H6" s="122"/>
      <c r="I6" s="122"/>
      <c r="J6" s="122"/>
      <c r="K6" s="122"/>
      <c r="L6" s="122"/>
      <c r="M6" s="122"/>
      <c r="N6" s="122"/>
      <c r="O6" s="122"/>
      <c r="P6" s="176"/>
      <c r="Q6" s="176"/>
      <c r="R6" s="176"/>
      <c r="S6" s="176"/>
      <c r="T6" s="176"/>
      <c r="U6" s="176"/>
      <c r="V6" s="176"/>
      <c r="W6" s="176"/>
      <c r="X6" s="176"/>
      <c r="Y6" s="176"/>
      <c r="Z6" s="176"/>
      <c r="AA6" s="176"/>
      <c r="AB6" s="176"/>
      <c r="AC6" s="176"/>
      <c r="AD6" s="176"/>
      <c r="AE6" s="176"/>
      <c r="AF6" s="176"/>
      <c r="AG6" s="176"/>
      <c r="AH6" s="176"/>
      <c r="AI6" s="176"/>
      <c r="AJ6" s="176"/>
      <c r="AK6" s="176"/>
      <c r="AL6" s="176"/>
      <c r="AM6" s="176"/>
      <c r="AN6" s="176"/>
      <c r="AO6" s="176"/>
      <c r="AP6" s="176"/>
      <c r="AQ6" s="176"/>
      <c r="AR6" s="176"/>
      <c r="AS6" s="176"/>
      <c r="AT6" s="176"/>
      <c r="AU6" s="176"/>
      <c r="AV6" s="176"/>
      <c r="AW6" s="176"/>
      <c r="AX6" s="176"/>
      <c r="AY6" s="176"/>
      <c r="AZ6" s="176"/>
      <c r="BA6" s="176"/>
      <c r="BB6" s="176"/>
      <c r="BC6" s="176"/>
      <c r="BD6" s="176"/>
      <c r="BE6" s="176"/>
      <c r="BF6" s="176"/>
      <c r="BG6" s="176"/>
      <c r="BH6" s="176"/>
      <c r="BI6" s="176"/>
      <c r="BJ6" s="176"/>
      <c r="BK6" s="176"/>
      <c r="BL6" s="176"/>
      <c r="BM6" s="176"/>
      <c r="BN6" s="176"/>
      <c r="BO6" s="176"/>
      <c r="BP6" s="176"/>
      <c r="BQ6" s="176"/>
      <c r="BR6" s="176"/>
      <c r="BS6" s="176"/>
      <c r="BT6" s="176"/>
      <c r="BU6" s="176"/>
      <c r="BV6" s="176"/>
      <c r="BW6" s="176"/>
      <c r="BX6" s="176"/>
      <c r="BY6" s="176"/>
      <c r="BZ6" s="176"/>
      <c r="CA6" s="176"/>
      <c r="CB6" s="176"/>
      <c r="CC6" s="176"/>
      <c r="CD6" s="176"/>
      <c r="CE6" s="176"/>
      <c r="CF6" s="176"/>
      <c r="CG6" s="176"/>
      <c r="CH6" s="176"/>
      <c r="CI6" s="176"/>
      <c r="CJ6" s="176"/>
      <c r="CK6" s="176"/>
      <c r="CL6" s="176"/>
      <c r="CM6" s="176"/>
      <c r="CN6" s="176"/>
      <c r="CO6" s="176"/>
      <c r="CP6" s="176"/>
      <c r="CQ6" s="176"/>
      <c r="CR6" s="176"/>
      <c r="CS6" s="176"/>
      <c r="CT6" s="176"/>
      <c r="CU6" s="176"/>
      <c r="CV6" s="176"/>
      <c r="CW6" s="176"/>
      <c r="CX6" s="176"/>
      <c r="CY6" s="176"/>
      <c r="CZ6" s="176"/>
      <c r="DA6" s="176"/>
      <c r="DB6" s="176"/>
      <c r="DC6" s="176"/>
      <c r="DD6" s="176"/>
      <c r="DE6" s="176"/>
      <c r="DF6" s="176"/>
      <c r="DG6" s="176"/>
      <c r="DH6" s="176"/>
      <c r="DI6" s="176"/>
      <c r="DJ6" s="176"/>
      <c r="DK6" s="176"/>
      <c r="DL6" s="176"/>
      <c r="DM6" s="176"/>
      <c r="DN6" s="176"/>
      <c r="DO6" s="176"/>
      <c r="DP6" s="176"/>
      <c r="DQ6" s="176"/>
      <c r="DR6" s="176"/>
      <c r="DS6" s="176"/>
      <c r="DT6" s="176"/>
      <c r="DU6" s="176"/>
      <c r="DV6" s="176"/>
      <c r="DW6" s="176"/>
      <c r="DX6" s="176"/>
      <c r="DY6" s="176"/>
      <c r="DZ6" s="176"/>
      <c r="EA6" s="176"/>
      <c r="EB6" s="176"/>
      <c r="EC6" s="176"/>
      <c r="ED6" s="176"/>
      <c r="EE6" s="176"/>
      <c r="EF6" s="176"/>
      <c r="EG6" s="176"/>
      <c r="EH6" s="176"/>
      <c r="EI6" s="176"/>
      <c r="EJ6" s="176"/>
      <c r="EK6" s="176"/>
      <c r="EL6" s="176"/>
      <c r="EM6" s="176"/>
      <c r="EN6" s="176"/>
      <c r="EO6" s="176"/>
      <c r="EP6" s="176"/>
      <c r="EQ6" s="176"/>
      <c r="ER6" s="176"/>
      <c r="ES6" s="176"/>
      <c r="ET6" s="176"/>
      <c r="EU6" s="176"/>
      <c r="EV6" s="176"/>
      <c r="EW6" s="176"/>
      <c r="EX6" s="176"/>
      <c r="EY6" s="176"/>
      <c r="EZ6" s="176"/>
      <c r="FA6" s="176"/>
      <c r="FB6" s="176"/>
      <c r="FC6" s="176"/>
      <c r="FD6" s="176"/>
      <c r="FE6" s="176"/>
      <c r="FF6" s="176"/>
      <c r="FG6" s="176"/>
      <c r="FH6" s="176"/>
      <c r="FI6" s="176"/>
      <c r="FJ6" s="176"/>
      <c r="FK6" s="176"/>
      <c r="FL6" s="176"/>
      <c r="FM6" s="176"/>
      <c r="FN6" s="176"/>
      <c r="FO6" s="176"/>
      <c r="FP6" s="176"/>
      <c r="FQ6" s="176"/>
      <c r="FR6" s="176"/>
      <c r="FS6" s="176"/>
      <c r="FT6" s="176"/>
      <c r="FU6" s="176"/>
      <c r="FV6" s="176"/>
      <c r="FW6" s="176"/>
      <c r="FX6" s="176"/>
      <c r="FY6" s="176"/>
      <c r="FZ6" s="176"/>
      <c r="GA6" s="176"/>
      <c r="GB6" s="176"/>
      <c r="GC6" s="176"/>
      <c r="GD6" s="176"/>
      <c r="GE6" s="176"/>
      <c r="GF6" s="176"/>
      <c r="GG6" s="176"/>
      <c r="GH6" s="176"/>
      <c r="GI6" s="176"/>
      <c r="GJ6" s="176"/>
      <c r="GK6" s="176"/>
      <c r="GL6" s="176"/>
      <c r="GM6" s="176"/>
      <c r="GN6" s="176"/>
      <c r="GO6" s="176"/>
      <c r="GP6" s="176"/>
      <c r="GQ6" s="176"/>
      <c r="GR6" s="176"/>
      <c r="GS6" s="176"/>
      <c r="GT6" s="176"/>
      <c r="GU6" s="176"/>
      <c r="GV6" s="176"/>
      <c r="GW6" s="176"/>
      <c r="GX6" s="176"/>
      <c r="GY6" s="176"/>
      <c r="GZ6" s="176"/>
      <c r="HA6" s="176"/>
      <c r="HB6" s="176"/>
      <c r="HC6" s="176"/>
      <c r="HD6" s="176"/>
      <c r="HE6" s="176"/>
      <c r="HF6" s="176"/>
      <c r="HG6" s="176"/>
      <c r="HH6" s="176"/>
      <c r="HI6" s="176"/>
      <c r="HJ6" s="176"/>
      <c r="HK6" s="176"/>
      <c r="HL6" s="176"/>
      <c r="HM6" s="176"/>
      <c r="HN6" s="176"/>
      <c r="HO6" s="176"/>
      <c r="HP6" s="176"/>
      <c r="HQ6" s="176"/>
      <c r="HR6" s="176"/>
      <c r="HS6" s="176"/>
      <c r="HT6" s="176"/>
      <c r="HU6" s="176"/>
      <c r="HV6" s="176"/>
      <c r="HW6" s="176"/>
      <c r="HX6" s="176"/>
      <c r="HY6" s="176"/>
      <c r="HZ6" s="176"/>
      <c r="IA6" s="176"/>
      <c r="IB6" s="176"/>
      <c r="IC6" s="176"/>
      <c r="ID6" s="176"/>
      <c r="IE6" s="176"/>
      <c r="IF6" s="176"/>
      <c r="IG6" s="176"/>
      <c r="IH6" s="176"/>
      <c r="II6" s="176"/>
      <c r="IJ6" s="176"/>
      <c r="IK6" s="176"/>
      <c r="IL6" s="176"/>
      <c r="IM6" s="176"/>
      <c r="IN6" s="176"/>
      <c r="IO6" s="176"/>
      <c r="IP6" s="176"/>
      <c r="IQ6" s="176"/>
      <c r="IR6" s="176"/>
      <c r="IS6" s="176"/>
      <c r="IT6" s="176"/>
      <c r="IU6" s="176"/>
      <c r="IV6" s="176"/>
    </row>
    <row r="7" spans="1:256" s="121" customFormat="1" ht="29.1" customHeight="1">
      <c r="A7" s="111" t="s">
        <v>986</v>
      </c>
      <c r="B7" s="114" t="s">
        <v>988</v>
      </c>
      <c r="C7" s="114"/>
      <c r="D7" s="126"/>
      <c r="E7" s="123"/>
      <c r="F7" s="123"/>
      <c r="G7" s="123"/>
      <c r="H7" s="123"/>
      <c r="I7" s="123"/>
      <c r="J7" s="117"/>
      <c r="K7" s="175"/>
      <c r="L7" s="175"/>
      <c r="M7" s="175"/>
      <c r="N7" s="175"/>
      <c r="O7" s="175"/>
      <c r="P7" s="117"/>
      <c r="Q7" s="175"/>
      <c r="R7" s="175"/>
      <c r="S7" s="175"/>
      <c r="T7" s="175"/>
      <c r="U7" s="175"/>
      <c r="V7" s="117"/>
      <c r="W7" s="175"/>
      <c r="X7" s="175"/>
      <c r="Y7" s="175"/>
      <c r="Z7" s="175"/>
      <c r="AA7" s="175"/>
      <c r="AB7" s="117"/>
      <c r="AC7" s="175"/>
      <c r="AD7" s="175"/>
      <c r="AE7" s="175"/>
      <c r="AF7" s="175"/>
      <c r="AG7" s="175"/>
      <c r="AH7" s="117"/>
      <c r="AI7" s="175"/>
      <c r="AJ7" s="175"/>
      <c r="AK7" s="175"/>
      <c r="AL7" s="175"/>
      <c r="AM7" s="175"/>
      <c r="AN7" s="117"/>
      <c r="AO7" s="175"/>
      <c r="AP7" s="175"/>
      <c r="AQ7" s="175"/>
      <c r="AR7" s="175"/>
      <c r="AS7" s="175"/>
      <c r="AT7" s="117"/>
      <c r="AU7" s="175"/>
      <c r="AV7" s="175"/>
      <c r="AW7" s="175"/>
      <c r="AX7" s="175"/>
      <c r="AY7" s="175"/>
      <c r="AZ7" s="117"/>
      <c r="BA7" s="175"/>
      <c r="BB7" s="175"/>
      <c r="BC7" s="175"/>
      <c r="BD7" s="175"/>
      <c r="BE7" s="175"/>
      <c r="BF7" s="117"/>
      <c r="BG7" s="175"/>
      <c r="BH7" s="175"/>
      <c r="BI7" s="175"/>
      <c r="BJ7" s="175"/>
      <c r="BK7" s="175"/>
      <c r="BL7" s="117"/>
      <c r="BM7" s="175"/>
      <c r="BN7" s="175"/>
      <c r="BO7" s="175"/>
      <c r="BP7" s="175"/>
      <c r="BQ7" s="175"/>
      <c r="BR7" s="117"/>
      <c r="BS7" s="175"/>
      <c r="BT7" s="175"/>
      <c r="BU7" s="175"/>
      <c r="BV7" s="175"/>
      <c r="BW7" s="175"/>
      <c r="BX7" s="117"/>
      <c r="BY7" s="175"/>
      <c r="BZ7" s="175"/>
      <c r="CA7" s="175"/>
      <c r="CB7" s="175"/>
      <c r="CC7" s="175"/>
      <c r="CD7" s="117"/>
      <c r="CE7" s="175"/>
      <c r="CF7" s="175"/>
      <c r="CG7" s="175"/>
      <c r="CH7" s="175"/>
      <c r="CI7" s="175"/>
      <c r="CJ7" s="117"/>
      <c r="CK7" s="175"/>
      <c r="CL7" s="175"/>
      <c r="CM7" s="175"/>
      <c r="CN7" s="175"/>
      <c r="CO7" s="175"/>
      <c r="CP7" s="117"/>
      <c r="CQ7" s="175"/>
      <c r="CR7" s="175"/>
      <c r="CS7" s="175"/>
      <c r="CT7" s="175"/>
      <c r="CU7" s="175"/>
      <c r="CV7" s="117"/>
      <c r="CW7" s="175"/>
      <c r="CX7" s="175"/>
      <c r="CY7" s="175"/>
      <c r="CZ7" s="175"/>
      <c r="DA7" s="175"/>
      <c r="DB7" s="117"/>
      <c r="DC7" s="175"/>
      <c r="DD7" s="175"/>
      <c r="DE7" s="175"/>
      <c r="DF7" s="175"/>
      <c r="DG7" s="175"/>
      <c r="DH7" s="117"/>
      <c r="DI7" s="175"/>
      <c r="DJ7" s="175"/>
      <c r="DK7" s="175"/>
      <c r="DL7" s="175"/>
      <c r="DM7" s="175"/>
      <c r="DN7" s="117"/>
      <c r="DO7" s="175"/>
      <c r="DP7" s="175"/>
      <c r="DQ7" s="175"/>
      <c r="DR7" s="175"/>
      <c r="DS7" s="175"/>
      <c r="DT7" s="117"/>
      <c r="DU7" s="175"/>
      <c r="DV7" s="175"/>
      <c r="DW7" s="175"/>
      <c r="DX7" s="175"/>
      <c r="DY7" s="175"/>
      <c r="DZ7" s="117"/>
      <c r="EA7" s="175"/>
      <c r="EB7" s="175"/>
      <c r="EC7" s="175"/>
      <c r="ED7" s="175"/>
      <c r="EE7" s="175"/>
      <c r="EF7" s="117"/>
      <c r="EG7" s="175"/>
      <c r="EH7" s="175"/>
      <c r="EI7" s="175"/>
      <c r="EJ7" s="175"/>
      <c r="EK7" s="175"/>
      <c r="EL7" s="117"/>
      <c r="EM7" s="175"/>
      <c r="EN7" s="175"/>
      <c r="EO7" s="175"/>
      <c r="EP7" s="175"/>
      <c r="EQ7" s="175"/>
      <c r="ER7" s="117"/>
      <c r="ES7" s="175"/>
      <c r="ET7" s="175"/>
      <c r="EU7" s="175"/>
      <c r="EV7" s="175"/>
      <c r="EW7" s="175"/>
      <c r="EX7" s="117"/>
      <c r="EY7" s="175"/>
      <c r="EZ7" s="175"/>
      <c r="FA7" s="175"/>
      <c r="FB7" s="175"/>
      <c r="FC7" s="175"/>
      <c r="FD7" s="117"/>
      <c r="FE7" s="175"/>
      <c r="FF7" s="175"/>
      <c r="FG7" s="175"/>
      <c r="FH7" s="175"/>
      <c r="FI7" s="175"/>
      <c r="FJ7" s="117"/>
      <c r="FK7" s="175"/>
      <c r="FL7" s="175"/>
      <c r="FM7" s="175"/>
      <c r="FN7" s="175"/>
      <c r="FO7" s="175"/>
      <c r="FP7" s="117"/>
      <c r="FQ7" s="175"/>
      <c r="FR7" s="175"/>
      <c r="FS7" s="175"/>
      <c r="FT7" s="175"/>
      <c r="FU7" s="175"/>
      <c r="FV7" s="117"/>
      <c r="FW7" s="175"/>
      <c r="FX7" s="175"/>
      <c r="FY7" s="175"/>
      <c r="FZ7" s="175"/>
      <c r="GA7" s="175"/>
      <c r="GB7" s="117"/>
      <c r="GC7" s="175"/>
      <c r="GD7" s="175"/>
      <c r="GE7" s="175"/>
      <c r="GF7" s="175"/>
      <c r="GG7" s="175"/>
      <c r="GH7" s="117"/>
      <c r="GI7" s="175"/>
      <c r="GJ7" s="175"/>
      <c r="GK7" s="175"/>
      <c r="GL7" s="175"/>
      <c r="GM7" s="175"/>
      <c r="GN7" s="117"/>
      <c r="GO7" s="175"/>
      <c r="GP7" s="175"/>
      <c r="GQ7" s="175"/>
      <c r="GR7" s="175"/>
      <c r="GS7" s="175"/>
      <c r="GT7" s="117"/>
      <c r="GU7" s="175"/>
      <c r="GV7" s="175"/>
      <c r="GW7" s="175"/>
      <c r="GX7" s="175"/>
      <c r="GY7" s="175"/>
      <c r="GZ7" s="117"/>
      <c r="HA7" s="175"/>
      <c r="HB7" s="175"/>
      <c r="HC7" s="175"/>
      <c r="HD7" s="175"/>
      <c r="HE7" s="175"/>
      <c r="HF7" s="117"/>
      <c r="HG7" s="175"/>
      <c r="HH7" s="175"/>
      <c r="HI7" s="175"/>
      <c r="HJ7" s="175"/>
      <c r="HK7" s="175"/>
      <c r="HL7" s="117"/>
      <c r="HM7" s="175"/>
      <c r="HN7" s="175"/>
      <c r="HO7" s="175"/>
      <c r="HP7" s="175"/>
      <c r="HQ7" s="175"/>
      <c r="HR7" s="117"/>
      <c r="HS7" s="175"/>
      <c r="HT7" s="175"/>
      <c r="HU7" s="175"/>
      <c r="HV7" s="175"/>
      <c r="HW7" s="175"/>
      <c r="HX7" s="117"/>
      <c r="HY7" s="175"/>
      <c r="HZ7" s="175"/>
      <c r="IA7" s="175"/>
      <c r="IB7" s="175"/>
      <c r="IC7" s="175"/>
      <c r="ID7" s="117"/>
      <c r="IE7" s="175"/>
      <c r="IF7" s="175"/>
      <c r="IG7" s="175"/>
      <c r="IH7" s="175"/>
      <c r="II7" s="175"/>
      <c r="IJ7" s="117"/>
      <c r="IK7" s="175"/>
      <c r="IL7" s="175"/>
      <c r="IM7" s="175"/>
      <c r="IN7" s="175"/>
      <c r="IO7" s="175"/>
      <c r="IP7" s="117"/>
      <c r="IQ7" s="175"/>
      <c r="IR7" s="175"/>
      <c r="IS7" s="175"/>
      <c r="IT7" s="175"/>
      <c r="IU7" s="175"/>
      <c r="IV7" s="117"/>
    </row>
    <row r="8" spans="1:256" s="121" customFormat="1" ht="17.100000000000001" customHeight="1">
      <c r="A8" s="111"/>
      <c r="B8" s="114"/>
      <c r="C8" s="114"/>
      <c r="D8" s="126"/>
      <c r="E8" s="123"/>
      <c r="F8" s="123"/>
      <c r="G8" s="123"/>
      <c r="H8" s="123"/>
      <c r="I8" s="123"/>
      <c r="J8" s="117"/>
      <c r="K8" s="175"/>
      <c r="L8" s="175"/>
      <c r="M8" s="175"/>
      <c r="N8" s="175"/>
      <c r="O8" s="175"/>
      <c r="P8" s="117"/>
      <c r="Q8" s="175"/>
      <c r="R8" s="175"/>
      <c r="S8" s="175"/>
      <c r="T8" s="175"/>
      <c r="U8" s="175"/>
      <c r="V8" s="117"/>
      <c r="W8" s="175"/>
      <c r="X8" s="175"/>
      <c r="Y8" s="175"/>
      <c r="Z8" s="175"/>
      <c r="AA8" s="175"/>
      <c r="AB8" s="117"/>
      <c r="AC8" s="175"/>
      <c r="AD8" s="175"/>
      <c r="AE8" s="175"/>
      <c r="AF8" s="175"/>
      <c r="AG8" s="175"/>
      <c r="AH8" s="117"/>
      <c r="AI8" s="175"/>
      <c r="AJ8" s="175"/>
      <c r="AK8" s="175"/>
      <c r="AL8" s="175"/>
      <c r="AM8" s="175"/>
      <c r="AN8" s="117"/>
      <c r="AO8" s="175"/>
      <c r="AP8" s="175"/>
      <c r="AQ8" s="175"/>
      <c r="AR8" s="175"/>
      <c r="AS8" s="175"/>
      <c r="AT8" s="117"/>
      <c r="AU8" s="175"/>
      <c r="AV8" s="175"/>
      <c r="AW8" s="175"/>
      <c r="AX8" s="175"/>
      <c r="AY8" s="175"/>
      <c r="AZ8" s="117"/>
      <c r="BA8" s="175"/>
      <c r="BB8" s="175"/>
      <c r="BC8" s="175"/>
      <c r="BD8" s="175"/>
      <c r="BE8" s="175"/>
      <c r="BF8" s="117"/>
      <c r="BG8" s="175"/>
      <c r="BH8" s="175"/>
      <c r="BI8" s="175"/>
      <c r="BJ8" s="175"/>
      <c r="BK8" s="175"/>
      <c r="BL8" s="117"/>
      <c r="BM8" s="175"/>
      <c r="BN8" s="175"/>
      <c r="BO8" s="175"/>
      <c r="BP8" s="175"/>
      <c r="BQ8" s="175"/>
      <c r="BR8" s="117"/>
      <c r="BS8" s="175"/>
      <c r="BT8" s="175"/>
      <c r="BU8" s="175"/>
      <c r="BV8" s="175"/>
      <c r="BW8" s="175"/>
      <c r="BX8" s="117"/>
      <c r="BY8" s="175"/>
      <c r="BZ8" s="175"/>
      <c r="CA8" s="175"/>
      <c r="CB8" s="175"/>
      <c r="CC8" s="175"/>
      <c r="CD8" s="117"/>
      <c r="CE8" s="175"/>
      <c r="CF8" s="175"/>
      <c r="CG8" s="175"/>
      <c r="CH8" s="175"/>
      <c r="CI8" s="175"/>
      <c r="CJ8" s="117"/>
      <c r="CK8" s="175"/>
      <c r="CL8" s="175"/>
      <c r="CM8" s="175"/>
      <c r="CN8" s="175"/>
      <c r="CO8" s="175"/>
      <c r="CP8" s="117"/>
      <c r="CQ8" s="175"/>
      <c r="CR8" s="175"/>
      <c r="CS8" s="175"/>
      <c r="CT8" s="175"/>
      <c r="CU8" s="175"/>
      <c r="CV8" s="117"/>
      <c r="CW8" s="175"/>
      <c r="CX8" s="175"/>
      <c r="CY8" s="175"/>
      <c r="CZ8" s="175"/>
      <c r="DA8" s="175"/>
      <c r="DB8" s="117"/>
      <c r="DC8" s="175"/>
      <c r="DD8" s="175"/>
      <c r="DE8" s="175"/>
      <c r="DF8" s="175"/>
      <c r="DG8" s="175"/>
      <c r="DH8" s="117"/>
      <c r="DI8" s="175"/>
      <c r="DJ8" s="175"/>
      <c r="DK8" s="175"/>
      <c r="DL8" s="175"/>
      <c r="DM8" s="175"/>
      <c r="DN8" s="117"/>
      <c r="DO8" s="175"/>
      <c r="DP8" s="175"/>
      <c r="DQ8" s="175"/>
      <c r="DR8" s="175"/>
      <c r="DS8" s="175"/>
      <c r="DT8" s="117"/>
      <c r="DU8" s="175"/>
      <c r="DV8" s="175"/>
      <c r="DW8" s="175"/>
      <c r="DX8" s="175"/>
      <c r="DY8" s="175"/>
      <c r="DZ8" s="117"/>
      <c r="EA8" s="175"/>
      <c r="EB8" s="175"/>
      <c r="EC8" s="175"/>
      <c r="ED8" s="175"/>
      <c r="EE8" s="175"/>
      <c r="EF8" s="117"/>
      <c r="EG8" s="175"/>
      <c r="EH8" s="175"/>
      <c r="EI8" s="175"/>
      <c r="EJ8" s="175"/>
      <c r="EK8" s="175"/>
      <c r="EL8" s="117"/>
      <c r="EM8" s="175"/>
      <c r="EN8" s="175"/>
      <c r="EO8" s="175"/>
      <c r="EP8" s="175"/>
      <c r="EQ8" s="175"/>
      <c r="ER8" s="117"/>
      <c r="ES8" s="175"/>
      <c r="ET8" s="175"/>
      <c r="EU8" s="175"/>
      <c r="EV8" s="175"/>
      <c r="EW8" s="175"/>
      <c r="EX8" s="117"/>
      <c r="EY8" s="175"/>
      <c r="EZ8" s="175"/>
      <c r="FA8" s="175"/>
      <c r="FB8" s="175"/>
      <c r="FC8" s="175"/>
      <c r="FD8" s="117"/>
      <c r="FE8" s="175"/>
      <c r="FF8" s="175"/>
      <c r="FG8" s="175"/>
      <c r="FH8" s="175"/>
      <c r="FI8" s="175"/>
      <c r="FJ8" s="117"/>
      <c r="FK8" s="175"/>
      <c r="FL8" s="175"/>
      <c r="FM8" s="175"/>
      <c r="FN8" s="175"/>
      <c r="FO8" s="175"/>
      <c r="FP8" s="117"/>
      <c r="FQ8" s="175"/>
      <c r="FR8" s="175"/>
      <c r="FS8" s="175"/>
      <c r="FT8" s="175"/>
      <c r="FU8" s="175"/>
      <c r="FV8" s="117"/>
      <c r="FW8" s="175"/>
      <c r="FX8" s="175"/>
      <c r="FY8" s="175"/>
      <c r="FZ8" s="175"/>
      <c r="GA8" s="175"/>
      <c r="GB8" s="117"/>
      <c r="GC8" s="175"/>
      <c r="GD8" s="175"/>
      <c r="GE8" s="175"/>
      <c r="GF8" s="175"/>
      <c r="GG8" s="175"/>
      <c r="GH8" s="117"/>
      <c r="GI8" s="175"/>
      <c r="GJ8" s="175"/>
      <c r="GK8" s="175"/>
      <c r="GL8" s="175"/>
      <c r="GM8" s="175"/>
      <c r="GN8" s="117"/>
      <c r="GO8" s="175"/>
      <c r="GP8" s="175"/>
      <c r="GQ8" s="175"/>
      <c r="GR8" s="175"/>
      <c r="GS8" s="175"/>
      <c r="GT8" s="117"/>
      <c r="GU8" s="175"/>
      <c r="GV8" s="175"/>
      <c r="GW8" s="175"/>
      <c r="GX8" s="175"/>
      <c r="GY8" s="175"/>
      <c r="GZ8" s="117"/>
      <c r="HA8" s="175"/>
      <c r="HB8" s="175"/>
      <c r="HC8" s="175"/>
      <c r="HD8" s="175"/>
      <c r="HE8" s="175"/>
      <c r="HF8" s="117"/>
      <c r="HG8" s="175"/>
      <c r="HH8" s="175"/>
      <c r="HI8" s="175"/>
      <c r="HJ8" s="175"/>
      <c r="HK8" s="175"/>
      <c r="HL8" s="117"/>
      <c r="HM8" s="175"/>
      <c r="HN8" s="175"/>
      <c r="HO8" s="175"/>
      <c r="HP8" s="175"/>
      <c r="HQ8" s="175"/>
      <c r="HR8" s="117"/>
      <c r="HS8" s="175"/>
      <c r="HT8" s="175"/>
      <c r="HU8" s="175"/>
      <c r="HV8" s="175"/>
      <c r="HW8" s="175"/>
      <c r="HX8" s="117"/>
      <c r="HY8" s="175"/>
      <c r="HZ8" s="175"/>
      <c r="IA8" s="175"/>
      <c r="IB8" s="175"/>
      <c r="IC8" s="175"/>
      <c r="ID8" s="117"/>
      <c r="IE8" s="175"/>
      <c r="IF8" s="175"/>
      <c r="IG8" s="175"/>
      <c r="IH8" s="175"/>
      <c r="II8" s="175"/>
      <c r="IJ8" s="117"/>
      <c r="IK8" s="175"/>
      <c r="IL8" s="175"/>
      <c r="IM8" s="175"/>
      <c r="IN8" s="175"/>
      <c r="IO8" s="175"/>
      <c r="IP8" s="117"/>
      <c r="IQ8" s="175"/>
      <c r="IR8" s="175"/>
      <c r="IS8" s="175"/>
      <c r="IT8" s="175"/>
      <c r="IU8" s="175"/>
      <c r="IV8" s="117"/>
    </row>
    <row r="9" spans="1:256" s="121" customFormat="1" ht="17.100000000000001" customHeight="1">
      <c r="A9" s="111"/>
      <c r="B9" s="114"/>
      <c r="C9" s="114"/>
      <c r="D9" s="126"/>
      <c r="E9" s="123"/>
      <c r="F9" s="123"/>
      <c r="G9" s="123"/>
      <c r="H9" s="123"/>
      <c r="I9" s="123"/>
      <c r="J9" s="117"/>
      <c r="K9" s="175"/>
      <c r="L9" s="175"/>
      <c r="M9" s="175"/>
      <c r="N9" s="175"/>
      <c r="O9" s="175"/>
      <c r="P9" s="117"/>
      <c r="Q9" s="175"/>
      <c r="R9" s="175"/>
      <c r="S9" s="175"/>
      <c r="T9" s="175"/>
      <c r="U9" s="175"/>
      <c r="V9" s="117"/>
      <c r="W9" s="175"/>
      <c r="X9" s="175"/>
      <c r="Y9" s="175"/>
      <c r="Z9" s="175"/>
      <c r="AA9" s="175"/>
      <c r="AB9" s="117"/>
      <c r="AC9" s="175"/>
      <c r="AD9" s="175"/>
      <c r="AE9" s="175"/>
      <c r="AF9" s="175"/>
      <c r="AG9" s="175"/>
      <c r="AH9" s="117"/>
      <c r="AI9" s="175"/>
      <c r="AJ9" s="175"/>
      <c r="AK9" s="175"/>
      <c r="AL9" s="175"/>
      <c r="AM9" s="175"/>
      <c r="AN9" s="117"/>
      <c r="AO9" s="175"/>
      <c r="AP9" s="175"/>
      <c r="AQ9" s="175"/>
      <c r="AR9" s="175"/>
      <c r="AS9" s="175"/>
      <c r="AT9" s="117"/>
      <c r="AU9" s="175"/>
      <c r="AV9" s="175"/>
      <c r="AW9" s="175"/>
      <c r="AX9" s="175"/>
      <c r="AY9" s="175"/>
      <c r="AZ9" s="117"/>
      <c r="BA9" s="175"/>
      <c r="BB9" s="175"/>
      <c r="BC9" s="175"/>
      <c r="BD9" s="175"/>
      <c r="BE9" s="175"/>
      <c r="BF9" s="117"/>
      <c r="BG9" s="175"/>
      <c r="BH9" s="175"/>
      <c r="BI9" s="175"/>
      <c r="BJ9" s="175"/>
      <c r="BK9" s="175"/>
      <c r="BL9" s="117"/>
      <c r="BM9" s="175"/>
      <c r="BN9" s="175"/>
      <c r="BO9" s="175"/>
      <c r="BP9" s="175"/>
      <c r="BQ9" s="175"/>
      <c r="BR9" s="117"/>
      <c r="BS9" s="175"/>
      <c r="BT9" s="175"/>
      <c r="BU9" s="175"/>
      <c r="BV9" s="175"/>
      <c r="BW9" s="175"/>
      <c r="BX9" s="117"/>
      <c r="BY9" s="175"/>
      <c r="BZ9" s="175"/>
      <c r="CA9" s="175"/>
      <c r="CB9" s="175"/>
      <c r="CC9" s="175"/>
      <c r="CD9" s="117"/>
      <c r="CE9" s="175"/>
      <c r="CF9" s="175"/>
      <c r="CG9" s="175"/>
      <c r="CH9" s="175"/>
      <c r="CI9" s="175"/>
      <c r="CJ9" s="117"/>
      <c r="CK9" s="175"/>
      <c r="CL9" s="175"/>
      <c r="CM9" s="175"/>
      <c r="CN9" s="175"/>
      <c r="CO9" s="175"/>
      <c r="CP9" s="117"/>
      <c r="CQ9" s="175"/>
      <c r="CR9" s="175"/>
      <c r="CS9" s="175"/>
      <c r="CT9" s="175"/>
      <c r="CU9" s="175"/>
      <c r="CV9" s="117"/>
      <c r="CW9" s="175"/>
      <c r="CX9" s="175"/>
      <c r="CY9" s="175"/>
      <c r="CZ9" s="175"/>
      <c r="DA9" s="175"/>
      <c r="DB9" s="117"/>
      <c r="DC9" s="175"/>
      <c r="DD9" s="175"/>
      <c r="DE9" s="175"/>
      <c r="DF9" s="175"/>
      <c r="DG9" s="175"/>
      <c r="DH9" s="117"/>
      <c r="DI9" s="175"/>
      <c r="DJ9" s="175"/>
      <c r="DK9" s="175"/>
      <c r="DL9" s="175"/>
      <c r="DM9" s="175"/>
      <c r="DN9" s="117"/>
      <c r="DO9" s="175"/>
      <c r="DP9" s="175"/>
      <c r="DQ9" s="175"/>
      <c r="DR9" s="175"/>
      <c r="DS9" s="175"/>
      <c r="DT9" s="117"/>
      <c r="DU9" s="175"/>
      <c r="DV9" s="175"/>
      <c r="DW9" s="175"/>
      <c r="DX9" s="175"/>
      <c r="DY9" s="175"/>
      <c r="DZ9" s="117"/>
      <c r="EA9" s="175"/>
      <c r="EB9" s="175"/>
      <c r="EC9" s="175"/>
      <c r="ED9" s="175"/>
      <c r="EE9" s="175"/>
      <c r="EF9" s="117"/>
      <c r="EG9" s="175"/>
      <c r="EH9" s="175"/>
      <c r="EI9" s="175"/>
      <c r="EJ9" s="175"/>
      <c r="EK9" s="175"/>
      <c r="EL9" s="117"/>
      <c r="EM9" s="175"/>
      <c r="EN9" s="175"/>
      <c r="EO9" s="175"/>
      <c r="EP9" s="175"/>
      <c r="EQ9" s="175"/>
      <c r="ER9" s="117"/>
      <c r="ES9" s="175"/>
      <c r="ET9" s="175"/>
      <c r="EU9" s="175"/>
      <c r="EV9" s="175"/>
      <c r="EW9" s="175"/>
      <c r="EX9" s="117"/>
      <c r="EY9" s="175"/>
      <c r="EZ9" s="175"/>
      <c r="FA9" s="175"/>
      <c r="FB9" s="175"/>
      <c r="FC9" s="175"/>
      <c r="FD9" s="117"/>
      <c r="FE9" s="175"/>
      <c r="FF9" s="175"/>
      <c r="FG9" s="175"/>
      <c r="FH9" s="175"/>
      <c r="FI9" s="175"/>
      <c r="FJ9" s="117"/>
      <c r="FK9" s="175"/>
      <c r="FL9" s="175"/>
      <c r="FM9" s="175"/>
      <c r="FN9" s="175"/>
      <c r="FO9" s="175"/>
      <c r="FP9" s="117"/>
      <c r="FQ9" s="175"/>
      <c r="FR9" s="175"/>
      <c r="FS9" s="175"/>
      <c r="FT9" s="175"/>
      <c r="FU9" s="175"/>
      <c r="FV9" s="117"/>
      <c r="FW9" s="175"/>
      <c r="FX9" s="175"/>
      <c r="FY9" s="175"/>
      <c r="FZ9" s="175"/>
      <c r="GA9" s="175"/>
      <c r="GB9" s="117"/>
      <c r="GC9" s="175"/>
      <c r="GD9" s="175"/>
      <c r="GE9" s="175"/>
      <c r="GF9" s="175"/>
      <c r="GG9" s="175"/>
      <c r="GH9" s="117"/>
      <c r="GI9" s="175"/>
      <c r="GJ9" s="175"/>
      <c r="GK9" s="175"/>
      <c r="GL9" s="175"/>
      <c r="GM9" s="175"/>
      <c r="GN9" s="117"/>
      <c r="GO9" s="175"/>
      <c r="GP9" s="175"/>
      <c r="GQ9" s="175"/>
      <c r="GR9" s="175"/>
      <c r="GS9" s="175"/>
      <c r="GT9" s="117"/>
      <c r="GU9" s="175"/>
      <c r="GV9" s="175"/>
      <c r="GW9" s="175"/>
      <c r="GX9" s="175"/>
      <c r="GY9" s="175"/>
      <c r="GZ9" s="117"/>
      <c r="HA9" s="175"/>
      <c r="HB9" s="175"/>
      <c r="HC9" s="175"/>
      <c r="HD9" s="175"/>
      <c r="HE9" s="175"/>
      <c r="HF9" s="117"/>
      <c r="HG9" s="175"/>
      <c r="HH9" s="175"/>
      <c r="HI9" s="175"/>
      <c r="HJ9" s="175"/>
      <c r="HK9" s="175"/>
      <c r="HL9" s="117"/>
      <c r="HM9" s="175"/>
      <c r="HN9" s="175"/>
      <c r="HO9" s="175"/>
      <c r="HP9" s="175"/>
      <c r="HQ9" s="175"/>
      <c r="HR9" s="117"/>
      <c r="HS9" s="175"/>
      <c r="HT9" s="175"/>
      <c r="HU9" s="175"/>
      <c r="HV9" s="175"/>
      <c r="HW9" s="175"/>
      <c r="HX9" s="117"/>
      <c r="HY9" s="175"/>
      <c r="HZ9" s="175"/>
      <c r="IA9" s="175"/>
      <c r="IB9" s="175"/>
      <c r="IC9" s="175"/>
      <c r="ID9" s="117"/>
      <c r="IE9" s="175"/>
      <c r="IF9" s="175"/>
      <c r="IG9" s="175"/>
      <c r="IH9" s="175"/>
      <c r="II9" s="175"/>
      <c r="IJ9" s="117"/>
      <c r="IK9" s="175"/>
      <c r="IL9" s="175"/>
      <c r="IM9" s="175"/>
      <c r="IN9" s="175"/>
      <c r="IO9" s="175"/>
      <c r="IP9" s="117"/>
      <c r="IQ9" s="175"/>
      <c r="IR9" s="175"/>
      <c r="IS9" s="175"/>
      <c r="IT9" s="175"/>
      <c r="IU9" s="175"/>
      <c r="IV9" s="117"/>
    </row>
    <row r="10" spans="1:256" s="121" customFormat="1" ht="17.100000000000001" customHeight="1">
      <c r="A10" s="111"/>
      <c r="B10" s="114"/>
      <c r="C10" s="114"/>
      <c r="D10" s="126"/>
      <c r="E10" s="123"/>
      <c r="F10" s="123"/>
      <c r="G10" s="123"/>
      <c r="H10" s="123"/>
      <c r="I10" s="123"/>
      <c r="J10" s="117"/>
      <c r="K10" s="175"/>
      <c r="L10" s="175"/>
      <c r="M10" s="175"/>
      <c r="N10" s="175"/>
      <c r="O10" s="175"/>
      <c r="P10" s="117"/>
      <c r="Q10" s="175"/>
      <c r="R10" s="175"/>
      <c r="S10" s="175"/>
      <c r="T10" s="175"/>
      <c r="U10" s="175"/>
      <c r="V10" s="117"/>
      <c r="W10" s="175"/>
      <c r="X10" s="175"/>
      <c r="Y10" s="175"/>
      <c r="Z10" s="175"/>
      <c r="AA10" s="175"/>
      <c r="AB10" s="117"/>
      <c r="AC10" s="175"/>
      <c r="AD10" s="175"/>
      <c r="AE10" s="175"/>
      <c r="AF10" s="175"/>
      <c r="AG10" s="175"/>
      <c r="AH10" s="117"/>
      <c r="AI10" s="175"/>
      <c r="AJ10" s="175"/>
      <c r="AK10" s="175"/>
      <c r="AL10" s="175"/>
      <c r="AM10" s="175"/>
      <c r="AN10" s="117"/>
      <c r="AO10" s="175"/>
      <c r="AP10" s="175"/>
      <c r="AQ10" s="175"/>
      <c r="AR10" s="175"/>
      <c r="AS10" s="175"/>
      <c r="AT10" s="117"/>
      <c r="AU10" s="175"/>
      <c r="AV10" s="175"/>
      <c r="AW10" s="175"/>
      <c r="AX10" s="175"/>
      <c r="AY10" s="175"/>
      <c r="AZ10" s="117"/>
      <c r="BA10" s="175"/>
      <c r="BB10" s="175"/>
      <c r="BC10" s="175"/>
      <c r="BD10" s="175"/>
      <c r="BE10" s="175"/>
      <c r="BF10" s="117"/>
      <c r="BG10" s="175"/>
      <c r="BH10" s="175"/>
      <c r="BI10" s="175"/>
      <c r="BJ10" s="175"/>
      <c r="BK10" s="175"/>
      <c r="BL10" s="117"/>
      <c r="BM10" s="175"/>
      <c r="BN10" s="175"/>
      <c r="BO10" s="175"/>
      <c r="BP10" s="175"/>
      <c r="BQ10" s="175"/>
      <c r="BR10" s="117"/>
      <c r="BS10" s="175"/>
      <c r="BT10" s="175"/>
      <c r="BU10" s="175"/>
      <c r="BV10" s="175"/>
      <c r="BW10" s="175"/>
      <c r="BX10" s="117"/>
      <c r="BY10" s="175"/>
      <c r="BZ10" s="175"/>
      <c r="CA10" s="175"/>
      <c r="CB10" s="175"/>
      <c r="CC10" s="175"/>
      <c r="CD10" s="117"/>
      <c r="CE10" s="175"/>
      <c r="CF10" s="175"/>
      <c r="CG10" s="175"/>
      <c r="CH10" s="175"/>
      <c r="CI10" s="175"/>
      <c r="CJ10" s="117"/>
      <c r="CK10" s="175"/>
      <c r="CL10" s="175"/>
      <c r="CM10" s="175"/>
      <c r="CN10" s="175"/>
      <c r="CO10" s="175"/>
      <c r="CP10" s="117"/>
      <c r="CQ10" s="175"/>
      <c r="CR10" s="175"/>
      <c r="CS10" s="175"/>
      <c r="CT10" s="175"/>
      <c r="CU10" s="175"/>
      <c r="CV10" s="117"/>
      <c r="CW10" s="175"/>
      <c r="CX10" s="175"/>
      <c r="CY10" s="175"/>
      <c r="CZ10" s="175"/>
      <c r="DA10" s="175"/>
      <c r="DB10" s="117"/>
      <c r="DC10" s="175"/>
      <c r="DD10" s="175"/>
      <c r="DE10" s="175"/>
      <c r="DF10" s="175"/>
      <c r="DG10" s="175"/>
      <c r="DH10" s="117"/>
      <c r="DI10" s="175"/>
      <c r="DJ10" s="175"/>
      <c r="DK10" s="175"/>
      <c r="DL10" s="175"/>
      <c r="DM10" s="175"/>
      <c r="DN10" s="117"/>
      <c r="DO10" s="175"/>
      <c r="DP10" s="175"/>
      <c r="DQ10" s="175"/>
      <c r="DR10" s="175"/>
      <c r="DS10" s="175"/>
      <c r="DT10" s="117"/>
      <c r="DU10" s="175"/>
      <c r="DV10" s="175"/>
      <c r="DW10" s="175"/>
      <c r="DX10" s="175"/>
      <c r="DY10" s="175"/>
      <c r="DZ10" s="117"/>
      <c r="EA10" s="175"/>
      <c r="EB10" s="175"/>
      <c r="EC10" s="175"/>
      <c r="ED10" s="175"/>
      <c r="EE10" s="175"/>
      <c r="EF10" s="117"/>
      <c r="EG10" s="175"/>
      <c r="EH10" s="175"/>
      <c r="EI10" s="175"/>
      <c r="EJ10" s="175"/>
      <c r="EK10" s="175"/>
      <c r="EL10" s="117"/>
      <c r="EM10" s="175"/>
      <c r="EN10" s="175"/>
      <c r="EO10" s="175"/>
      <c r="EP10" s="175"/>
      <c r="EQ10" s="175"/>
      <c r="ER10" s="117"/>
      <c r="ES10" s="175"/>
      <c r="ET10" s="175"/>
      <c r="EU10" s="175"/>
      <c r="EV10" s="175"/>
      <c r="EW10" s="175"/>
      <c r="EX10" s="117"/>
      <c r="EY10" s="175"/>
      <c r="EZ10" s="175"/>
      <c r="FA10" s="175"/>
      <c r="FB10" s="175"/>
      <c r="FC10" s="175"/>
      <c r="FD10" s="117"/>
      <c r="FE10" s="175"/>
      <c r="FF10" s="175"/>
      <c r="FG10" s="175"/>
      <c r="FH10" s="175"/>
      <c r="FI10" s="175"/>
      <c r="FJ10" s="117"/>
      <c r="FK10" s="175"/>
      <c r="FL10" s="175"/>
      <c r="FM10" s="175"/>
      <c r="FN10" s="175"/>
      <c r="FO10" s="175"/>
      <c r="FP10" s="117"/>
      <c r="FQ10" s="175"/>
      <c r="FR10" s="175"/>
      <c r="FS10" s="175"/>
      <c r="FT10" s="175"/>
      <c r="FU10" s="175"/>
      <c r="FV10" s="117"/>
      <c r="FW10" s="175"/>
      <c r="FX10" s="175"/>
      <c r="FY10" s="175"/>
      <c r="FZ10" s="175"/>
      <c r="GA10" s="175"/>
      <c r="GB10" s="117"/>
      <c r="GC10" s="175"/>
      <c r="GD10" s="175"/>
      <c r="GE10" s="175"/>
      <c r="GF10" s="175"/>
      <c r="GG10" s="175"/>
      <c r="GH10" s="117"/>
      <c r="GI10" s="175"/>
      <c r="GJ10" s="175"/>
      <c r="GK10" s="175"/>
      <c r="GL10" s="175"/>
      <c r="GM10" s="175"/>
      <c r="GN10" s="117"/>
      <c r="GO10" s="175"/>
      <c r="GP10" s="175"/>
      <c r="GQ10" s="175"/>
      <c r="GR10" s="175"/>
      <c r="GS10" s="175"/>
      <c r="GT10" s="117"/>
      <c r="GU10" s="175"/>
      <c r="GV10" s="175"/>
      <c r="GW10" s="175"/>
      <c r="GX10" s="175"/>
      <c r="GY10" s="175"/>
      <c r="GZ10" s="117"/>
      <c r="HA10" s="175"/>
      <c r="HB10" s="175"/>
      <c r="HC10" s="175"/>
      <c r="HD10" s="175"/>
      <c r="HE10" s="175"/>
      <c r="HF10" s="117"/>
      <c r="HG10" s="175"/>
      <c r="HH10" s="175"/>
      <c r="HI10" s="175"/>
      <c r="HJ10" s="175"/>
      <c r="HK10" s="175"/>
      <c r="HL10" s="117"/>
      <c r="HM10" s="175"/>
      <c r="HN10" s="175"/>
      <c r="HO10" s="175"/>
      <c r="HP10" s="175"/>
      <c r="HQ10" s="175"/>
      <c r="HR10" s="117"/>
      <c r="HS10" s="175"/>
      <c r="HT10" s="175"/>
      <c r="HU10" s="175"/>
      <c r="HV10" s="175"/>
      <c r="HW10" s="175"/>
      <c r="HX10" s="117"/>
      <c r="HY10" s="175"/>
      <c r="HZ10" s="175"/>
      <c r="IA10" s="175"/>
      <c r="IB10" s="175"/>
      <c r="IC10" s="175"/>
      <c r="ID10" s="117"/>
      <c r="IE10" s="175"/>
      <c r="IF10" s="175"/>
      <c r="IG10" s="175"/>
      <c r="IH10" s="175"/>
      <c r="II10" s="175"/>
      <c r="IJ10" s="117"/>
      <c r="IK10" s="175"/>
      <c r="IL10" s="175"/>
      <c r="IM10" s="175"/>
      <c r="IN10" s="175"/>
      <c r="IO10" s="175"/>
      <c r="IP10" s="117"/>
      <c r="IQ10" s="175"/>
      <c r="IR10" s="175"/>
      <c r="IS10" s="175"/>
      <c r="IT10" s="175"/>
      <c r="IU10" s="175"/>
      <c r="IV10" s="117"/>
    </row>
    <row r="11" spans="1:256" s="121" customFormat="1" ht="17.100000000000001" customHeight="1">
      <c r="A11" s="111"/>
      <c r="B11" s="114"/>
      <c r="C11" s="114"/>
      <c r="D11" s="126"/>
      <c r="E11" s="123"/>
      <c r="F11" s="123"/>
      <c r="G11" s="123"/>
      <c r="H11" s="123"/>
      <c r="I11" s="123"/>
      <c r="J11" s="117"/>
      <c r="K11" s="175"/>
      <c r="L11" s="175"/>
      <c r="M11" s="175"/>
      <c r="N11" s="175"/>
      <c r="O11" s="175"/>
      <c r="P11" s="117"/>
      <c r="Q11" s="175"/>
      <c r="R11" s="175"/>
      <c r="S11" s="175"/>
      <c r="T11" s="175"/>
      <c r="U11" s="175"/>
      <c r="V11" s="117"/>
      <c r="W11" s="175"/>
      <c r="X11" s="175"/>
      <c r="Y11" s="175"/>
      <c r="Z11" s="175"/>
      <c r="AA11" s="175"/>
      <c r="AB11" s="117"/>
      <c r="AC11" s="175"/>
      <c r="AD11" s="175"/>
      <c r="AE11" s="175"/>
      <c r="AF11" s="175"/>
      <c r="AG11" s="175"/>
      <c r="AH11" s="117"/>
      <c r="AI11" s="175"/>
      <c r="AJ11" s="175"/>
      <c r="AK11" s="175"/>
      <c r="AL11" s="175"/>
      <c r="AM11" s="175"/>
      <c r="AN11" s="117"/>
      <c r="AO11" s="175"/>
      <c r="AP11" s="175"/>
      <c r="AQ11" s="175"/>
      <c r="AR11" s="175"/>
      <c r="AS11" s="175"/>
      <c r="AT11" s="117"/>
      <c r="AU11" s="175"/>
      <c r="AV11" s="175"/>
      <c r="AW11" s="175"/>
      <c r="AX11" s="175"/>
      <c r="AY11" s="175"/>
      <c r="AZ11" s="117"/>
      <c r="BA11" s="175"/>
      <c r="BB11" s="175"/>
      <c r="BC11" s="175"/>
      <c r="BD11" s="175"/>
      <c r="BE11" s="175"/>
      <c r="BF11" s="117"/>
      <c r="BG11" s="175"/>
      <c r="BH11" s="175"/>
      <c r="BI11" s="175"/>
      <c r="BJ11" s="175"/>
      <c r="BK11" s="175"/>
      <c r="BL11" s="117"/>
      <c r="BM11" s="175"/>
      <c r="BN11" s="175"/>
      <c r="BO11" s="175"/>
      <c r="BP11" s="175"/>
      <c r="BQ11" s="175"/>
      <c r="BR11" s="117"/>
      <c r="BS11" s="175"/>
      <c r="BT11" s="175"/>
      <c r="BU11" s="175"/>
      <c r="BV11" s="175"/>
      <c r="BW11" s="175"/>
      <c r="BX11" s="117"/>
      <c r="BY11" s="175"/>
      <c r="BZ11" s="175"/>
      <c r="CA11" s="175"/>
      <c r="CB11" s="175"/>
      <c r="CC11" s="175"/>
      <c r="CD11" s="117"/>
      <c r="CE11" s="175"/>
      <c r="CF11" s="175"/>
      <c r="CG11" s="175"/>
      <c r="CH11" s="175"/>
      <c r="CI11" s="175"/>
      <c r="CJ11" s="117"/>
      <c r="CK11" s="175"/>
      <c r="CL11" s="175"/>
      <c r="CM11" s="175"/>
      <c r="CN11" s="175"/>
      <c r="CO11" s="175"/>
      <c r="CP11" s="117"/>
      <c r="CQ11" s="175"/>
      <c r="CR11" s="175"/>
      <c r="CS11" s="175"/>
      <c r="CT11" s="175"/>
      <c r="CU11" s="175"/>
      <c r="CV11" s="117"/>
      <c r="CW11" s="175"/>
      <c r="CX11" s="175"/>
      <c r="CY11" s="175"/>
      <c r="CZ11" s="175"/>
      <c r="DA11" s="175"/>
      <c r="DB11" s="117"/>
      <c r="DC11" s="175"/>
      <c r="DD11" s="175"/>
      <c r="DE11" s="175"/>
      <c r="DF11" s="175"/>
      <c r="DG11" s="175"/>
      <c r="DH11" s="117"/>
      <c r="DI11" s="175"/>
      <c r="DJ11" s="175"/>
      <c r="DK11" s="175"/>
      <c r="DL11" s="175"/>
      <c r="DM11" s="175"/>
      <c r="DN11" s="117"/>
      <c r="DO11" s="175"/>
      <c r="DP11" s="175"/>
      <c r="DQ11" s="175"/>
      <c r="DR11" s="175"/>
      <c r="DS11" s="175"/>
      <c r="DT11" s="117"/>
      <c r="DU11" s="175"/>
      <c r="DV11" s="175"/>
      <c r="DW11" s="175"/>
      <c r="DX11" s="175"/>
      <c r="DY11" s="175"/>
      <c r="DZ11" s="117"/>
      <c r="EA11" s="175"/>
      <c r="EB11" s="175"/>
      <c r="EC11" s="175"/>
      <c r="ED11" s="175"/>
      <c r="EE11" s="175"/>
      <c r="EF11" s="117"/>
      <c r="EG11" s="175"/>
      <c r="EH11" s="175"/>
      <c r="EI11" s="175"/>
      <c r="EJ11" s="175"/>
      <c r="EK11" s="175"/>
      <c r="EL11" s="117"/>
      <c r="EM11" s="175"/>
      <c r="EN11" s="175"/>
      <c r="EO11" s="175"/>
      <c r="EP11" s="175"/>
      <c r="EQ11" s="175"/>
      <c r="ER11" s="117"/>
      <c r="ES11" s="175"/>
      <c r="ET11" s="175"/>
      <c r="EU11" s="175"/>
      <c r="EV11" s="175"/>
      <c r="EW11" s="175"/>
      <c r="EX11" s="117"/>
      <c r="EY11" s="175"/>
      <c r="EZ11" s="175"/>
      <c r="FA11" s="175"/>
      <c r="FB11" s="175"/>
      <c r="FC11" s="175"/>
      <c r="FD11" s="117"/>
      <c r="FE11" s="175"/>
      <c r="FF11" s="175"/>
      <c r="FG11" s="175"/>
      <c r="FH11" s="175"/>
      <c r="FI11" s="175"/>
      <c r="FJ11" s="117"/>
      <c r="FK11" s="175"/>
      <c r="FL11" s="175"/>
      <c r="FM11" s="175"/>
      <c r="FN11" s="175"/>
      <c r="FO11" s="175"/>
      <c r="FP11" s="117"/>
      <c r="FQ11" s="175"/>
      <c r="FR11" s="175"/>
      <c r="FS11" s="175"/>
      <c r="FT11" s="175"/>
      <c r="FU11" s="175"/>
      <c r="FV11" s="117"/>
      <c r="FW11" s="175"/>
      <c r="FX11" s="175"/>
      <c r="FY11" s="175"/>
      <c r="FZ11" s="175"/>
      <c r="GA11" s="175"/>
      <c r="GB11" s="117"/>
      <c r="GC11" s="175"/>
      <c r="GD11" s="175"/>
      <c r="GE11" s="175"/>
      <c r="GF11" s="175"/>
      <c r="GG11" s="175"/>
      <c r="GH11" s="117"/>
      <c r="GI11" s="175"/>
      <c r="GJ11" s="175"/>
      <c r="GK11" s="175"/>
      <c r="GL11" s="175"/>
      <c r="GM11" s="175"/>
      <c r="GN11" s="117"/>
      <c r="GO11" s="175"/>
      <c r="GP11" s="175"/>
      <c r="GQ11" s="175"/>
      <c r="GR11" s="175"/>
      <c r="GS11" s="175"/>
      <c r="GT11" s="117"/>
      <c r="GU11" s="175"/>
      <c r="GV11" s="175"/>
      <c r="GW11" s="175"/>
      <c r="GX11" s="175"/>
      <c r="GY11" s="175"/>
      <c r="GZ11" s="117"/>
      <c r="HA11" s="175"/>
      <c r="HB11" s="175"/>
      <c r="HC11" s="175"/>
      <c r="HD11" s="175"/>
      <c r="HE11" s="175"/>
      <c r="HF11" s="117"/>
      <c r="HG11" s="175"/>
      <c r="HH11" s="175"/>
      <c r="HI11" s="175"/>
      <c r="HJ11" s="175"/>
      <c r="HK11" s="175"/>
      <c r="HL11" s="117"/>
      <c r="HM11" s="175"/>
      <c r="HN11" s="175"/>
      <c r="HO11" s="175"/>
      <c r="HP11" s="175"/>
      <c r="HQ11" s="175"/>
      <c r="HR11" s="117"/>
      <c r="HS11" s="175"/>
      <c r="HT11" s="175"/>
      <c r="HU11" s="175"/>
      <c r="HV11" s="175"/>
      <c r="HW11" s="175"/>
      <c r="HX11" s="117"/>
      <c r="HY11" s="175"/>
      <c r="HZ11" s="175"/>
      <c r="IA11" s="175"/>
      <c r="IB11" s="175"/>
      <c r="IC11" s="175"/>
      <c r="ID11" s="117"/>
      <c r="IE11" s="175"/>
      <c r="IF11" s="175"/>
      <c r="IG11" s="175"/>
      <c r="IH11" s="175"/>
      <c r="II11" s="175"/>
      <c r="IJ11" s="117"/>
      <c r="IK11" s="175"/>
      <c r="IL11" s="175"/>
      <c r="IM11" s="175"/>
      <c r="IN11" s="175"/>
      <c r="IO11" s="175"/>
      <c r="IP11" s="117"/>
      <c r="IQ11" s="175"/>
      <c r="IR11" s="175"/>
      <c r="IS11" s="175"/>
      <c r="IT11" s="175"/>
      <c r="IU11" s="175"/>
      <c r="IV11" s="117"/>
    </row>
    <row r="12" spans="1:256" s="121" customFormat="1" ht="17.100000000000001" customHeight="1">
      <c r="A12" s="111"/>
      <c r="B12" s="114"/>
      <c r="C12" s="114"/>
      <c r="D12" s="126"/>
      <c r="E12" s="123"/>
      <c r="F12" s="123"/>
      <c r="G12" s="123"/>
      <c r="H12" s="123"/>
      <c r="I12" s="123"/>
      <c r="J12" s="117"/>
      <c r="K12" s="175"/>
      <c r="L12" s="175"/>
      <c r="M12" s="175"/>
      <c r="N12" s="175"/>
      <c r="O12" s="175"/>
      <c r="P12" s="117"/>
      <c r="Q12" s="175"/>
      <c r="R12" s="175"/>
      <c r="S12" s="175"/>
      <c r="T12" s="175"/>
      <c r="U12" s="175"/>
      <c r="V12" s="117"/>
      <c r="W12" s="175"/>
      <c r="X12" s="175"/>
      <c r="Y12" s="175"/>
      <c r="Z12" s="175"/>
      <c r="AA12" s="175"/>
      <c r="AB12" s="117"/>
      <c r="AC12" s="175"/>
      <c r="AD12" s="175"/>
      <c r="AE12" s="175"/>
      <c r="AF12" s="175"/>
      <c r="AG12" s="175"/>
      <c r="AH12" s="117"/>
      <c r="AI12" s="175"/>
      <c r="AJ12" s="175"/>
      <c r="AK12" s="175"/>
      <c r="AL12" s="175"/>
      <c r="AM12" s="175"/>
      <c r="AN12" s="117"/>
      <c r="AO12" s="175"/>
      <c r="AP12" s="175"/>
      <c r="AQ12" s="175"/>
      <c r="AR12" s="175"/>
      <c r="AS12" s="175"/>
      <c r="AT12" s="117"/>
      <c r="AU12" s="175"/>
      <c r="AV12" s="175"/>
      <c r="AW12" s="175"/>
      <c r="AX12" s="175"/>
      <c r="AY12" s="175"/>
      <c r="AZ12" s="117"/>
      <c r="BA12" s="175"/>
      <c r="BB12" s="175"/>
      <c r="BC12" s="175"/>
      <c r="BD12" s="175"/>
      <c r="BE12" s="175"/>
      <c r="BF12" s="117"/>
      <c r="BG12" s="175"/>
      <c r="BH12" s="175"/>
      <c r="BI12" s="175"/>
      <c r="BJ12" s="175"/>
      <c r="BK12" s="175"/>
      <c r="BL12" s="117"/>
      <c r="BM12" s="175"/>
      <c r="BN12" s="175"/>
      <c r="BO12" s="175"/>
      <c r="BP12" s="175"/>
      <c r="BQ12" s="175"/>
      <c r="BR12" s="117"/>
      <c r="BS12" s="175"/>
      <c r="BT12" s="175"/>
      <c r="BU12" s="175"/>
      <c r="BV12" s="175"/>
      <c r="BW12" s="175"/>
      <c r="BX12" s="117"/>
      <c r="BY12" s="175"/>
      <c r="BZ12" s="175"/>
      <c r="CA12" s="175"/>
      <c r="CB12" s="175"/>
      <c r="CC12" s="175"/>
      <c r="CD12" s="117"/>
      <c r="CE12" s="175"/>
      <c r="CF12" s="175"/>
      <c r="CG12" s="175"/>
      <c r="CH12" s="175"/>
      <c r="CI12" s="175"/>
      <c r="CJ12" s="117"/>
      <c r="CK12" s="175"/>
      <c r="CL12" s="175"/>
      <c r="CM12" s="175"/>
      <c r="CN12" s="175"/>
      <c r="CO12" s="175"/>
      <c r="CP12" s="117"/>
      <c r="CQ12" s="175"/>
      <c r="CR12" s="175"/>
      <c r="CS12" s="175"/>
      <c r="CT12" s="175"/>
      <c r="CU12" s="175"/>
      <c r="CV12" s="117"/>
      <c r="CW12" s="175"/>
      <c r="CX12" s="175"/>
      <c r="CY12" s="175"/>
      <c r="CZ12" s="175"/>
      <c r="DA12" s="175"/>
      <c r="DB12" s="117"/>
      <c r="DC12" s="175"/>
      <c r="DD12" s="175"/>
      <c r="DE12" s="175"/>
      <c r="DF12" s="175"/>
      <c r="DG12" s="175"/>
      <c r="DH12" s="117"/>
      <c r="DI12" s="175"/>
      <c r="DJ12" s="175"/>
      <c r="DK12" s="175"/>
      <c r="DL12" s="175"/>
      <c r="DM12" s="175"/>
      <c r="DN12" s="117"/>
      <c r="DO12" s="175"/>
      <c r="DP12" s="175"/>
      <c r="DQ12" s="175"/>
      <c r="DR12" s="175"/>
      <c r="DS12" s="175"/>
      <c r="DT12" s="117"/>
      <c r="DU12" s="175"/>
      <c r="DV12" s="175"/>
      <c r="DW12" s="175"/>
      <c r="DX12" s="175"/>
      <c r="DY12" s="175"/>
      <c r="DZ12" s="117"/>
      <c r="EA12" s="175"/>
      <c r="EB12" s="175"/>
      <c r="EC12" s="175"/>
      <c r="ED12" s="175"/>
      <c r="EE12" s="175"/>
      <c r="EF12" s="117"/>
      <c r="EG12" s="175"/>
      <c r="EH12" s="175"/>
      <c r="EI12" s="175"/>
      <c r="EJ12" s="175"/>
      <c r="EK12" s="175"/>
      <c r="EL12" s="117"/>
      <c r="EM12" s="175"/>
      <c r="EN12" s="175"/>
      <c r="EO12" s="175"/>
      <c r="EP12" s="175"/>
      <c r="EQ12" s="175"/>
      <c r="ER12" s="117"/>
      <c r="ES12" s="175"/>
      <c r="ET12" s="175"/>
      <c r="EU12" s="175"/>
      <c r="EV12" s="175"/>
      <c r="EW12" s="175"/>
      <c r="EX12" s="117"/>
      <c r="EY12" s="175"/>
      <c r="EZ12" s="175"/>
      <c r="FA12" s="175"/>
      <c r="FB12" s="175"/>
      <c r="FC12" s="175"/>
      <c r="FD12" s="117"/>
      <c r="FE12" s="175"/>
      <c r="FF12" s="175"/>
      <c r="FG12" s="175"/>
      <c r="FH12" s="175"/>
      <c r="FI12" s="175"/>
      <c r="FJ12" s="117"/>
      <c r="FK12" s="175"/>
      <c r="FL12" s="175"/>
      <c r="FM12" s="175"/>
      <c r="FN12" s="175"/>
      <c r="FO12" s="175"/>
      <c r="FP12" s="117"/>
      <c r="FQ12" s="175"/>
      <c r="FR12" s="175"/>
      <c r="FS12" s="175"/>
      <c r="FT12" s="175"/>
      <c r="FU12" s="175"/>
      <c r="FV12" s="117"/>
      <c r="FW12" s="175"/>
      <c r="FX12" s="175"/>
      <c r="FY12" s="175"/>
      <c r="FZ12" s="175"/>
      <c r="GA12" s="175"/>
      <c r="GB12" s="117"/>
      <c r="GC12" s="175"/>
      <c r="GD12" s="175"/>
      <c r="GE12" s="175"/>
      <c r="GF12" s="175"/>
      <c r="GG12" s="175"/>
      <c r="GH12" s="117"/>
      <c r="GI12" s="175"/>
      <c r="GJ12" s="175"/>
      <c r="GK12" s="175"/>
      <c r="GL12" s="175"/>
      <c r="GM12" s="175"/>
      <c r="GN12" s="117"/>
      <c r="GO12" s="175"/>
      <c r="GP12" s="175"/>
      <c r="GQ12" s="175"/>
      <c r="GR12" s="175"/>
      <c r="GS12" s="175"/>
      <c r="GT12" s="117"/>
      <c r="GU12" s="175"/>
      <c r="GV12" s="175"/>
      <c r="GW12" s="175"/>
      <c r="GX12" s="175"/>
      <c r="GY12" s="175"/>
      <c r="GZ12" s="117"/>
      <c r="HA12" s="175"/>
      <c r="HB12" s="175"/>
      <c r="HC12" s="175"/>
      <c r="HD12" s="175"/>
      <c r="HE12" s="175"/>
      <c r="HF12" s="117"/>
      <c r="HG12" s="175"/>
      <c r="HH12" s="175"/>
      <c r="HI12" s="175"/>
      <c r="HJ12" s="175"/>
      <c r="HK12" s="175"/>
      <c r="HL12" s="117"/>
      <c r="HM12" s="175"/>
      <c r="HN12" s="175"/>
      <c r="HO12" s="175"/>
      <c r="HP12" s="175"/>
      <c r="HQ12" s="175"/>
      <c r="HR12" s="117"/>
      <c r="HS12" s="175"/>
      <c r="HT12" s="175"/>
      <c r="HU12" s="175"/>
      <c r="HV12" s="175"/>
      <c r="HW12" s="175"/>
      <c r="HX12" s="117"/>
      <c r="HY12" s="175"/>
      <c r="HZ12" s="175"/>
      <c r="IA12" s="175"/>
      <c r="IB12" s="175"/>
      <c r="IC12" s="175"/>
      <c r="ID12" s="117"/>
      <c r="IE12" s="175"/>
      <c r="IF12" s="175"/>
      <c r="IG12" s="175"/>
      <c r="IH12" s="175"/>
      <c r="II12" s="175"/>
      <c r="IJ12" s="117"/>
      <c r="IK12" s="175"/>
      <c r="IL12" s="175"/>
      <c r="IM12" s="175"/>
      <c r="IN12" s="175"/>
      <c r="IO12" s="175"/>
      <c r="IP12" s="117"/>
      <c r="IQ12" s="175"/>
      <c r="IR12" s="175"/>
      <c r="IS12" s="175"/>
      <c r="IT12" s="175"/>
      <c r="IU12" s="175"/>
      <c r="IV12" s="117"/>
    </row>
    <row r="13" spans="1:256" s="121" customFormat="1" ht="29.1" customHeight="1">
      <c r="A13" s="111" t="s">
        <v>981</v>
      </c>
      <c r="B13" s="114" t="s">
        <v>987</v>
      </c>
      <c r="C13" s="114"/>
      <c r="D13" s="126"/>
      <c r="E13" s="123"/>
      <c r="F13" s="123"/>
      <c r="G13" s="123"/>
      <c r="H13" s="123"/>
      <c r="I13" s="123"/>
      <c r="J13" s="117"/>
      <c r="K13" s="175"/>
      <c r="L13" s="175"/>
      <c r="M13" s="175"/>
      <c r="N13" s="175"/>
      <c r="O13" s="175"/>
      <c r="P13" s="117"/>
      <c r="Q13" s="175"/>
      <c r="R13" s="175"/>
      <c r="S13" s="175"/>
      <c r="T13" s="175"/>
      <c r="U13" s="175"/>
      <c r="V13" s="117"/>
      <c r="W13" s="175"/>
      <c r="X13" s="175"/>
      <c r="Y13" s="175"/>
      <c r="Z13" s="175"/>
      <c r="AA13" s="175"/>
      <c r="AB13" s="117"/>
      <c r="AC13" s="175"/>
      <c r="AD13" s="175"/>
      <c r="AE13" s="175"/>
      <c r="AF13" s="175"/>
      <c r="AG13" s="175"/>
      <c r="AH13" s="117"/>
      <c r="AI13" s="175"/>
      <c r="AJ13" s="175"/>
      <c r="AK13" s="175"/>
      <c r="AL13" s="175"/>
      <c r="AM13" s="175"/>
      <c r="AN13" s="117"/>
      <c r="AO13" s="175"/>
      <c r="AP13" s="175"/>
      <c r="AQ13" s="175"/>
      <c r="AR13" s="175"/>
      <c r="AS13" s="175"/>
      <c r="AT13" s="117"/>
      <c r="AU13" s="175"/>
      <c r="AV13" s="175"/>
      <c r="AW13" s="175"/>
      <c r="AX13" s="175"/>
      <c r="AY13" s="175"/>
      <c r="AZ13" s="117"/>
      <c r="BA13" s="175"/>
      <c r="BB13" s="175"/>
      <c r="BC13" s="175"/>
      <c r="BD13" s="175"/>
      <c r="BE13" s="175"/>
      <c r="BF13" s="117"/>
      <c r="BG13" s="175"/>
      <c r="BH13" s="175"/>
      <c r="BI13" s="175"/>
      <c r="BJ13" s="175"/>
      <c r="BK13" s="175"/>
      <c r="BL13" s="117"/>
      <c r="BM13" s="175"/>
      <c r="BN13" s="175"/>
      <c r="BO13" s="175"/>
      <c r="BP13" s="175"/>
      <c r="BQ13" s="175"/>
      <c r="BR13" s="117"/>
      <c r="BS13" s="175"/>
      <c r="BT13" s="175"/>
      <c r="BU13" s="175"/>
      <c r="BV13" s="175"/>
      <c r="BW13" s="175"/>
      <c r="BX13" s="117"/>
      <c r="BY13" s="175"/>
      <c r="BZ13" s="175"/>
      <c r="CA13" s="175"/>
      <c r="CB13" s="175"/>
      <c r="CC13" s="175"/>
      <c r="CD13" s="117"/>
      <c r="CE13" s="175"/>
      <c r="CF13" s="175"/>
      <c r="CG13" s="175"/>
      <c r="CH13" s="175"/>
      <c r="CI13" s="175"/>
      <c r="CJ13" s="117"/>
      <c r="CK13" s="175"/>
      <c r="CL13" s="175"/>
      <c r="CM13" s="175"/>
      <c r="CN13" s="175"/>
      <c r="CO13" s="175"/>
      <c r="CP13" s="117"/>
      <c r="CQ13" s="175"/>
      <c r="CR13" s="175"/>
      <c r="CS13" s="175"/>
      <c r="CT13" s="175"/>
      <c r="CU13" s="175"/>
      <c r="CV13" s="117"/>
      <c r="CW13" s="175"/>
      <c r="CX13" s="175"/>
      <c r="CY13" s="175"/>
      <c r="CZ13" s="175"/>
      <c r="DA13" s="175"/>
      <c r="DB13" s="117"/>
      <c r="DC13" s="175"/>
      <c r="DD13" s="175"/>
      <c r="DE13" s="175"/>
      <c r="DF13" s="175"/>
      <c r="DG13" s="175"/>
      <c r="DH13" s="117"/>
      <c r="DI13" s="175"/>
      <c r="DJ13" s="175"/>
      <c r="DK13" s="175"/>
      <c r="DL13" s="175"/>
      <c r="DM13" s="175"/>
      <c r="DN13" s="117"/>
      <c r="DO13" s="175"/>
      <c r="DP13" s="175"/>
      <c r="DQ13" s="175"/>
      <c r="DR13" s="175"/>
      <c r="DS13" s="175"/>
      <c r="DT13" s="117"/>
      <c r="DU13" s="175"/>
      <c r="DV13" s="175"/>
      <c r="DW13" s="175"/>
      <c r="DX13" s="175"/>
      <c r="DY13" s="175"/>
      <c r="DZ13" s="117"/>
      <c r="EA13" s="175"/>
      <c r="EB13" s="175"/>
      <c r="EC13" s="175"/>
      <c r="ED13" s="175"/>
      <c r="EE13" s="175"/>
      <c r="EF13" s="117"/>
      <c r="EG13" s="175"/>
      <c r="EH13" s="175"/>
      <c r="EI13" s="175"/>
      <c r="EJ13" s="175"/>
      <c r="EK13" s="175"/>
      <c r="EL13" s="117"/>
      <c r="EM13" s="175"/>
      <c r="EN13" s="175"/>
      <c r="EO13" s="175"/>
      <c r="EP13" s="175"/>
      <c r="EQ13" s="175"/>
      <c r="ER13" s="117"/>
      <c r="ES13" s="175"/>
      <c r="ET13" s="175"/>
      <c r="EU13" s="175"/>
      <c r="EV13" s="175"/>
      <c r="EW13" s="175"/>
      <c r="EX13" s="117"/>
      <c r="EY13" s="175"/>
      <c r="EZ13" s="175"/>
      <c r="FA13" s="175"/>
      <c r="FB13" s="175"/>
      <c r="FC13" s="175"/>
      <c r="FD13" s="117"/>
      <c r="FE13" s="175"/>
      <c r="FF13" s="175"/>
      <c r="FG13" s="175"/>
      <c r="FH13" s="175"/>
      <c r="FI13" s="175"/>
      <c r="FJ13" s="117"/>
      <c r="FK13" s="175"/>
      <c r="FL13" s="175"/>
      <c r="FM13" s="175"/>
      <c r="FN13" s="175"/>
      <c r="FO13" s="175"/>
      <c r="FP13" s="117"/>
      <c r="FQ13" s="175"/>
      <c r="FR13" s="175"/>
      <c r="FS13" s="175"/>
      <c r="FT13" s="175"/>
      <c r="FU13" s="175"/>
      <c r="FV13" s="117"/>
      <c r="FW13" s="175"/>
      <c r="FX13" s="175"/>
      <c r="FY13" s="175"/>
      <c r="FZ13" s="175"/>
      <c r="GA13" s="175"/>
      <c r="GB13" s="117"/>
      <c r="GC13" s="175"/>
      <c r="GD13" s="175"/>
      <c r="GE13" s="175"/>
      <c r="GF13" s="175"/>
      <c r="GG13" s="175"/>
      <c r="GH13" s="117"/>
      <c r="GI13" s="175"/>
      <c r="GJ13" s="175"/>
      <c r="GK13" s="175"/>
      <c r="GL13" s="175"/>
      <c r="GM13" s="175"/>
      <c r="GN13" s="117"/>
      <c r="GO13" s="175"/>
      <c r="GP13" s="175"/>
      <c r="GQ13" s="175"/>
      <c r="GR13" s="175"/>
      <c r="GS13" s="175"/>
      <c r="GT13" s="117"/>
      <c r="GU13" s="175"/>
      <c r="GV13" s="175"/>
      <c r="GW13" s="175"/>
      <c r="GX13" s="175"/>
      <c r="GY13" s="175"/>
      <c r="GZ13" s="117"/>
      <c r="HA13" s="175"/>
      <c r="HB13" s="175"/>
      <c r="HC13" s="175"/>
      <c r="HD13" s="175"/>
      <c r="HE13" s="175"/>
      <c r="HF13" s="117"/>
      <c r="HG13" s="175"/>
      <c r="HH13" s="175"/>
      <c r="HI13" s="175"/>
      <c r="HJ13" s="175"/>
      <c r="HK13" s="175"/>
      <c r="HL13" s="117"/>
      <c r="HM13" s="175"/>
      <c r="HN13" s="175"/>
      <c r="HO13" s="175"/>
      <c r="HP13" s="175"/>
      <c r="HQ13" s="175"/>
      <c r="HR13" s="117"/>
      <c r="HS13" s="175"/>
      <c r="HT13" s="175"/>
      <c r="HU13" s="175"/>
      <c r="HV13" s="175"/>
      <c r="HW13" s="175"/>
      <c r="HX13" s="117"/>
      <c r="HY13" s="175"/>
      <c r="HZ13" s="175"/>
      <c r="IA13" s="175"/>
      <c r="IB13" s="175"/>
      <c r="IC13" s="175"/>
      <c r="ID13" s="117"/>
      <c r="IE13" s="175"/>
      <c r="IF13" s="175"/>
      <c r="IG13" s="175"/>
      <c r="IH13" s="175"/>
      <c r="II13" s="175"/>
      <c r="IJ13" s="117"/>
      <c r="IK13" s="175"/>
      <c r="IL13" s="175"/>
      <c r="IM13" s="175"/>
      <c r="IN13" s="175"/>
      <c r="IO13" s="175"/>
      <c r="IP13" s="117"/>
      <c r="IQ13" s="175"/>
      <c r="IR13" s="175"/>
      <c r="IS13" s="175"/>
      <c r="IT13" s="175"/>
      <c r="IU13" s="175"/>
      <c r="IV13" s="117"/>
    </row>
    <row r="14" spans="1:256" s="121" customFormat="1" ht="17.100000000000001" customHeight="1">
      <c r="A14" s="111"/>
      <c r="B14" s="114"/>
      <c r="C14" s="114"/>
      <c r="D14" s="126"/>
      <c r="E14" s="123"/>
      <c r="F14" s="123"/>
      <c r="G14" s="123"/>
      <c r="H14" s="123"/>
      <c r="I14" s="123"/>
      <c r="J14" s="117"/>
      <c r="K14" s="175"/>
      <c r="L14" s="175"/>
      <c r="M14" s="175"/>
      <c r="N14" s="175"/>
      <c r="O14" s="175"/>
      <c r="P14" s="117"/>
      <c r="Q14" s="175"/>
      <c r="R14" s="175"/>
      <c r="S14" s="175"/>
      <c r="T14" s="175"/>
      <c r="U14" s="175"/>
      <c r="V14" s="117"/>
      <c r="W14" s="175"/>
      <c r="X14" s="175"/>
      <c r="Y14" s="175"/>
      <c r="Z14" s="175"/>
      <c r="AA14" s="175"/>
      <c r="AB14" s="117"/>
      <c r="AC14" s="175"/>
      <c r="AD14" s="175"/>
      <c r="AE14" s="175"/>
      <c r="AF14" s="175"/>
      <c r="AG14" s="175"/>
      <c r="AH14" s="117"/>
      <c r="AI14" s="175"/>
      <c r="AJ14" s="175"/>
      <c r="AK14" s="175"/>
      <c r="AL14" s="175"/>
      <c r="AM14" s="175"/>
      <c r="AN14" s="117"/>
      <c r="AO14" s="175"/>
      <c r="AP14" s="175"/>
      <c r="AQ14" s="175"/>
      <c r="AR14" s="175"/>
      <c r="AS14" s="175"/>
      <c r="AT14" s="117"/>
      <c r="AU14" s="175"/>
      <c r="AV14" s="175"/>
      <c r="AW14" s="175"/>
      <c r="AX14" s="175"/>
      <c r="AY14" s="175"/>
      <c r="AZ14" s="117"/>
      <c r="BA14" s="175"/>
      <c r="BB14" s="175"/>
      <c r="BC14" s="175"/>
      <c r="BD14" s="175"/>
      <c r="BE14" s="175"/>
      <c r="BF14" s="117"/>
      <c r="BG14" s="175"/>
      <c r="BH14" s="175"/>
      <c r="BI14" s="175"/>
      <c r="BJ14" s="175"/>
      <c r="BK14" s="175"/>
      <c r="BL14" s="117"/>
      <c r="BM14" s="175"/>
      <c r="BN14" s="175"/>
      <c r="BO14" s="175"/>
      <c r="BP14" s="175"/>
      <c r="BQ14" s="175"/>
      <c r="BR14" s="117"/>
      <c r="BS14" s="175"/>
      <c r="BT14" s="175"/>
      <c r="BU14" s="175"/>
      <c r="BV14" s="175"/>
      <c r="BW14" s="175"/>
      <c r="BX14" s="117"/>
      <c r="BY14" s="175"/>
      <c r="BZ14" s="175"/>
      <c r="CA14" s="175"/>
      <c r="CB14" s="175"/>
      <c r="CC14" s="175"/>
      <c r="CD14" s="117"/>
      <c r="CE14" s="175"/>
      <c r="CF14" s="175"/>
      <c r="CG14" s="175"/>
      <c r="CH14" s="175"/>
      <c r="CI14" s="175"/>
      <c r="CJ14" s="117"/>
      <c r="CK14" s="175"/>
      <c r="CL14" s="175"/>
      <c r="CM14" s="175"/>
      <c r="CN14" s="175"/>
      <c r="CO14" s="175"/>
      <c r="CP14" s="117"/>
      <c r="CQ14" s="175"/>
      <c r="CR14" s="175"/>
      <c r="CS14" s="175"/>
      <c r="CT14" s="175"/>
      <c r="CU14" s="175"/>
      <c r="CV14" s="117"/>
      <c r="CW14" s="175"/>
      <c r="CX14" s="175"/>
      <c r="CY14" s="175"/>
      <c r="CZ14" s="175"/>
      <c r="DA14" s="175"/>
      <c r="DB14" s="117"/>
      <c r="DC14" s="175"/>
      <c r="DD14" s="175"/>
      <c r="DE14" s="175"/>
      <c r="DF14" s="175"/>
      <c r="DG14" s="175"/>
      <c r="DH14" s="117"/>
      <c r="DI14" s="175"/>
      <c r="DJ14" s="175"/>
      <c r="DK14" s="175"/>
      <c r="DL14" s="175"/>
      <c r="DM14" s="175"/>
      <c r="DN14" s="117"/>
      <c r="DO14" s="175"/>
      <c r="DP14" s="175"/>
      <c r="DQ14" s="175"/>
      <c r="DR14" s="175"/>
      <c r="DS14" s="175"/>
      <c r="DT14" s="117"/>
      <c r="DU14" s="175"/>
      <c r="DV14" s="175"/>
      <c r="DW14" s="175"/>
      <c r="DX14" s="175"/>
      <c r="DY14" s="175"/>
      <c r="DZ14" s="117"/>
      <c r="EA14" s="175"/>
      <c r="EB14" s="175"/>
      <c r="EC14" s="175"/>
      <c r="ED14" s="175"/>
      <c r="EE14" s="175"/>
      <c r="EF14" s="117"/>
      <c r="EG14" s="175"/>
      <c r="EH14" s="175"/>
      <c r="EI14" s="175"/>
      <c r="EJ14" s="175"/>
      <c r="EK14" s="175"/>
      <c r="EL14" s="117"/>
      <c r="EM14" s="175"/>
      <c r="EN14" s="175"/>
      <c r="EO14" s="175"/>
      <c r="EP14" s="175"/>
      <c r="EQ14" s="175"/>
      <c r="ER14" s="117"/>
      <c r="ES14" s="175"/>
      <c r="ET14" s="175"/>
      <c r="EU14" s="175"/>
      <c r="EV14" s="175"/>
      <c r="EW14" s="175"/>
      <c r="EX14" s="117"/>
      <c r="EY14" s="175"/>
      <c r="EZ14" s="175"/>
      <c r="FA14" s="175"/>
      <c r="FB14" s="175"/>
      <c r="FC14" s="175"/>
      <c r="FD14" s="117"/>
      <c r="FE14" s="175"/>
      <c r="FF14" s="175"/>
      <c r="FG14" s="175"/>
      <c r="FH14" s="175"/>
      <c r="FI14" s="175"/>
      <c r="FJ14" s="117"/>
      <c r="FK14" s="175"/>
      <c r="FL14" s="175"/>
      <c r="FM14" s="175"/>
      <c r="FN14" s="175"/>
      <c r="FO14" s="175"/>
      <c r="FP14" s="117"/>
      <c r="FQ14" s="175"/>
      <c r="FR14" s="175"/>
      <c r="FS14" s="175"/>
      <c r="FT14" s="175"/>
      <c r="FU14" s="175"/>
      <c r="FV14" s="117"/>
      <c r="FW14" s="175"/>
      <c r="FX14" s="175"/>
      <c r="FY14" s="175"/>
      <c r="FZ14" s="175"/>
      <c r="GA14" s="175"/>
      <c r="GB14" s="117"/>
      <c r="GC14" s="175"/>
      <c r="GD14" s="175"/>
      <c r="GE14" s="175"/>
      <c r="GF14" s="175"/>
      <c r="GG14" s="175"/>
      <c r="GH14" s="117"/>
      <c r="GI14" s="175"/>
      <c r="GJ14" s="175"/>
      <c r="GK14" s="175"/>
      <c r="GL14" s="175"/>
      <c r="GM14" s="175"/>
      <c r="GN14" s="117"/>
      <c r="GO14" s="175"/>
      <c r="GP14" s="175"/>
      <c r="GQ14" s="175"/>
      <c r="GR14" s="175"/>
      <c r="GS14" s="175"/>
      <c r="GT14" s="117"/>
      <c r="GU14" s="175"/>
      <c r="GV14" s="175"/>
      <c r="GW14" s="175"/>
      <c r="GX14" s="175"/>
      <c r="GY14" s="175"/>
      <c r="GZ14" s="117"/>
      <c r="HA14" s="175"/>
      <c r="HB14" s="175"/>
      <c r="HC14" s="175"/>
      <c r="HD14" s="175"/>
      <c r="HE14" s="175"/>
      <c r="HF14" s="117"/>
      <c r="HG14" s="175"/>
      <c r="HH14" s="175"/>
      <c r="HI14" s="175"/>
      <c r="HJ14" s="175"/>
      <c r="HK14" s="175"/>
      <c r="HL14" s="117"/>
      <c r="HM14" s="175"/>
      <c r="HN14" s="175"/>
      <c r="HO14" s="175"/>
      <c r="HP14" s="175"/>
      <c r="HQ14" s="175"/>
      <c r="HR14" s="117"/>
      <c r="HS14" s="175"/>
      <c r="HT14" s="175"/>
      <c r="HU14" s="175"/>
      <c r="HV14" s="175"/>
      <c r="HW14" s="175"/>
      <c r="HX14" s="117"/>
      <c r="HY14" s="175"/>
      <c r="HZ14" s="175"/>
      <c r="IA14" s="175"/>
      <c r="IB14" s="175"/>
      <c r="IC14" s="175"/>
      <c r="ID14" s="117"/>
      <c r="IE14" s="175"/>
      <c r="IF14" s="175"/>
      <c r="IG14" s="175"/>
      <c r="IH14" s="175"/>
      <c r="II14" s="175"/>
      <c r="IJ14" s="117"/>
      <c r="IK14" s="175"/>
      <c r="IL14" s="175"/>
      <c r="IM14" s="175"/>
      <c r="IN14" s="175"/>
      <c r="IO14" s="175"/>
      <c r="IP14" s="117"/>
      <c r="IQ14" s="175"/>
      <c r="IR14" s="175"/>
      <c r="IS14" s="175"/>
      <c r="IT14" s="175"/>
      <c r="IU14" s="175"/>
      <c r="IV14" s="117"/>
    </row>
    <row r="15" spans="1:256" s="121" customFormat="1" ht="17.100000000000001" customHeight="1">
      <c r="A15" s="111"/>
      <c r="B15" s="114"/>
      <c r="C15" s="114"/>
      <c r="D15" s="126"/>
      <c r="E15" s="123"/>
      <c r="F15" s="123"/>
      <c r="G15" s="123"/>
      <c r="H15" s="123"/>
      <c r="I15" s="123"/>
      <c r="J15" s="117"/>
      <c r="K15" s="175"/>
      <c r="L15" s="175"/>
      <c r="M15" s="175"/>
      <c r="N15" s="175"/>
      <c r="O15" s="175"/>
      <c r="P15" s="117"/>
      <c r="Q15" s="175"/>
      <c r="R15" s="175"/>
      <c r="S15" s="175"/>
      <c r="T15" s="175"/>
      <c r="U15" s="175"/>
      <c r="V15" s="117"/>
      <c r="W15" s="175"/>
      <c r="X15" s="175"/>
      <c r="Y15" s="175"/>
      <c r="Z15" s="175"/>
      <c r="AA15" s="175"/>
      <c r="AB15" s="117"/>
      <c r="AC15" s="175"/>
      <c r="AD15" s="175"/>
      <c r="AE15" s="175"/>
      <c r="AF15" s="175"/>
      <c r="AG15" s="175"/>
      <c r="AH15" s="117"/>
      <c r="AI15" s="175"/>
      <c r="AJ15" s="175"/>
      <c r="AK15" s="175"/>
      <c r="AL15" s="175"/>
      <c r="AM15" s="175"/>
      <c r="AN15" s="117"/>
      <c r="AO15" s="175"/>
      <c r="AP15" s="175"/>
      <c r="AQ15" s="175"/>
      <c r="AR15" s="175"/>
      <c r="AS15" s="175"/>
      <c r="AT15" s="117"/>
      <c r="AU15" s="175"/>
      <c r="AV15" s="175"/>
      <c r="AW15" s="175"/>
      <c r="AX15" s="175"/>
      <c r="AY15" s="175"/>
      <c r="AZ15" s="117"/>
      <c r="BA15" s="175"/>
      <c r="BB15" s="175"/>
      <c r="BC15" s="175"/>
      <c r="BD15" s="175"/>
      <c r="BE15" s="175"/>
      <c r="BF15" s="117"/>
      <c r="BG15" s="175"/>
      <c r="BH15" s="175"/>
      <c r="BI15" s="175"/>
      <c r="BJ15" s="175"/>
      <c r="BK15" s="175"/>
      <c r="BL15" s="117"/>
      <c r="BM15" s="175"/>
      <c r="BN15" s="175"/>
      <c r="BO15" s="175"/>
      <c r="BP15" s="175"/>
      <c r="BQ15" s="175"/>
      <c r="BR15" s="117"/>
      <c r="BS15" s="175"/>
      <c r="BT15" s="175"/>
      <c r="BU15" s="175"/>
      <c r="BV15" s="175"/>
      <c r="BW15" s="175"/>
      <c r="BX15" s="117"/>
      <c r="BY15" s="175"/>
      <c r="BZ15" s="175"/>
      <c r="CA15" s="175"/>
      <c r="CB15" s="175"/>
      <c r="CC15" s="175"/>
      <c r="CD15" s="117"/>
      <c r="CE15" s="175"/>
      <c r="CF15" s="175"/>
      <c r="CG15" s="175"/>
      <c r="CH15" s="175"/>
      <c r="CI15" s="175"/>
      <c r="CJ15" s="117"/>
      <c r="CK15" s="175"/>
      <c r="CL15" s="175"/>
      <c r="CM15" s="175"/>
      <c r="CN15" s="175"/>
      <c r="CO15" s="175"/>
      <c r="CP15" s="117"/>
      <c r="CQ15" s="175"/>
      <c r="CR15" s="175"/>
      <c r="CS15" s="175"/>
      <c r="CT15" s="175"/>
      <c r="CU15" s="175"/>
      <c r="CV15" s="117"/>
      <c r="CW15" s="175"/>
      <c r="CX15" s="175"/>
      <c r="CY15" s="175"/>
      <c r="CZ15" s="175"/>
      <c r="DA15" s="175"/>
      <c r="DB15" s="117"/>
      <c r="DC15" s="175"/>
      <c r="DD15" s="175"/>
      <c r="DE15" s="175"/>
      <c r="DF15" s="175"/>
      <c r="DG15" s="175"/>
      <c r="DH15" s="117"/>
      <c r="DI15" s="175"/>
      <c r="DJ15" s="175"/>
      <c r="DK15" s="175"/>
      <c r="DL15" s="175"/>
      <c r="DM15" s="175"/>
      <c r="DN15" s="117"/>
      <c r="DO15" s="175"/>
      <c r="DP15" s="175"/>
      <c r="DQ15" s="175"/>
      <c r="DR15" s="175"/>
      <c r="DS15" s="175"/>
      <c r="DT15" s="117"/>
      <c r="DU15" s="175"/>
      <c r="DV15" s="175"/>
      <c r="DW15" s="175"/>
      <c r="DX15" s="175"/>
      <c r="DY15" s="175"/>
      <c r="DZ15" s="117"/>
      <c r="EA15" s="175"/>
      <c r="EB15" s="175"/>
      <c r="EC15" s="175"/>
      <c r="ED15" s="175"/>
      <c r="EE15" s="175"/>
      <c r="EF15" s="117"/>
      <c r="EG15" s="175"/>
      <c r="EH15" s="175"/>
      <c r="EI15" s="175"/>
      <c r="EJ15" s="175"/>
      <c r="EK15" s="175"/>
      <c r="EL15" s="117"/>
      <c r="EM15" s="175"/>
      <c r="EN15" s="175"/>
      <c r="EO15" s="175"/>
      <c r="EP15" s="175"/>
      <c r="EQ15" s="175"/>
      <c r="ER15" s="117"/>
      <c r="ES15" s="175"/>
      <c r="ET15" s="175"/>
      <c r="EU15" s="175"/>
      <c r="EV15" s="175"/>
      <c r="EW15" s="175"/>
      <c r="EX15" s="117"/>
      <c r="EY15" s="175"/>
      <c r="EZ15" s="175"/>
      <c r="FA15" s="175"/>
      <c r="FB15" s="175"/>
      <c r="FC15" s="175"/>
      <c r="FD15" s="117"/>
      <c r="FE15" s="175"/>
      <c r="FF15" s="175"/>
      <c r="FG15" s="175"/>
      <c r="FH15" s="175"/>
      <c r="FI15" s="175"/>
      <c r="FJ15" s="117"/>
      <c r="FK15" s="175"/>
      <c r="FL15" s="175"/>
      <c r="FM15" s="175"/>
      <c r="FN15" s="175"/>
      <c r="FO15" s="175"/>
      <c r="FP15" s="117"/>
      <c r="FQ15" s="175"/>
      <c r="FR15" s="175"/>
      <c r="FS15" s="175"/>
      <c r="FT15" s="175"/>
      <c r="FU15" s="175"/>
      <c r="FV15" s="117"/>
      <c r="FW15" s="175"/>
      <c r="FX15" s="175"/>
      <c r="FY15" s="175"/>
      <c r="FZ15" s="175"/>
      <c r="GA15" s="175"/>
      <c r="GB15" s="117"/>
      <c r="GC15" s="175"/>
      <c r="GD15" s="175"/>
      <c r="GE15" s="175"/>
      <c r="GF15" s="175"/>
      <c r="GG15" s="175"/>
      <c r="GH15" s="117"/>
      <c r="GI15" s="175"/>
      <c r="GJ15" s="175"/>
      <c r="GK15" s="175"/>
      <c r="GL15" s="175"/>
      <c r="GM15" s="175"/>
      <c r="GN15" s="117"/>
      <c r="GO15" s="175"/>
      <c r="GP15" s="175"/>
      <c r="GQ15" s="175"/>
      <c r="GR15" s="175"/>
      <c r="GS15" s="175"/>
      <c r="GT15" s="117"/>
      <c r="GU15" s="175"/>
      <c r="GV15" s="175"/>
      <c r="GW15" s="175"/>
      <c r="GX15" s="175"/>
      <c r="GY15" s="175"/>
      <c r="GZ15" s="117"/>
      <c r="HA15" s="175"/>
      <c r="HB15" s="175"/>
      <c r="HC15" s="175"/>
      <c r="HD15" s="175"/>
      <c r="HE15" s="175"/>
      <c r="HF15" s="117"/>
      <c r="HG15" s="175"/>
      <c r="HH15" s="175"/>
      <c r="HI15" s="175"/>
      <c r="HJ15" s="175"/>
      <c r="HK15" s="175"/>
      <c r="HL15" s="117"/>
      <c r="HM15" s="175"/>
      <c r="HN15" s="175"/>
      <c r="HO15" s="175"/>
      <c r="HP15" s="175"/>
      <c r="HQ15" s="175"/>
      <c r="HR15" s="117"/>
      <c r="HS15" s="175"/>
      <c r="HT15" s="175"/>
      <c r="HU15" s="175"/>
      <c r="HV15" s="175"/>
      <c r="HW15" s="175"/>
      <c r="HX15" s="117"/>
      <c r="HY15" s="175"/>
      <c r="HZ15" s="175"/>
      <c r="IA15" s="175"/>
      <c r="IB15" s="175"/>
      <c r="IC15" s="175"/>
      <c r="ID15" s="117"/>
      <c r="IE15" s="175"/>
      <c r="IF15" s="175"/>
      <c r="IG15" s="175"/>
      <c r="IH15" s="175"/>
      <c r="II15" s="175"/>
      <c r="IJ15" s="117"/>
      <c r="IK15" s="175"/>
      <c r="IL15" s="175"/>
      <c r="IM15" s="175"/>
      <c r="IN15" s="175"/>
      <c r="IO15" s="175"/>
      <c r="IP15" s="117"/>
      <c r="IQ15" s="175"/>
      <c r="IR15" s="175"/>
      <c r="IS15" s="175"/>
      <c r="IT15" s="175"/>
      <c r="IU15" s="175"/>
      <c r="IV15" s="117"/>
    </row>
    <row r="16" spans="1:256" s="121" customFormat="1" ht="17.100000000000001" customHeight="1">
      <c r="A16" s="111"/>
      <c r="B16" s="114"/>
      <c r="C16" s="114"/>
      <c r="D16" s="126"/>
      <c r="E16" s="123"/>
      <c r="F16" s="123"/>
      <c r="G16" s="123"/>
      <c r="H16" s="123"/>
      <c r="I16" s="123"/>
      <c r="J16" s="117"/>
      <c r="K16" s="175"/>
      <c r="L16" s="175"/>
      <c r="M16" s="175"/>
      <c r="N16" s="175"/>
      <c r="O16" s="175"/>
      <c r="P16" s="117"/>
      <c r="Q16" s="175"/>
      <c r="R16" s="175"/>
      <c r="S16" s="175"/>
      <c r="T16" s="175"/>
      <c r="U16" s="175"/>
      <c r="V16" s="117"/>
      <c r="W16" s="175"/>
      <c r="X16" s="175"/>
      <c r="Y16" s="175"/>
      <c r="Z16" s="175"/>
      <c r="AA16" s="175"/>
      <c r="AB16" s="117"/>
      <c r="AC16" s="175"/>
      <c r="AD16" s="175"/>
      <c r="AE16" s="175"/>
      <c r="AF16" s="175"/>
      <c r="AG16" s="175"/>
      <c r="AH16" s="117"/>
      <c r="AI16" s="175"/>
      <c r="AJ16" s="175"/>
      <c r="AK16" s="175"/>
      <c r="AL16" s="175"/>
      <c r="AM16" s="175"/>
      <c r="AN16" s="117"/>
      <c r="AO16" s="175"/>
      <c r="AP16" s="175"/>
      <c r="AQ16" s="175"/>
      <c r="AR16" s="175"/>
      <c r="AS16" s="175"/>
      <c r="AT16" s="117"/>
      <c r="AU16" s="175"/>
      <c r="AV16" s="175"/>
      <c r="AW16" s="175"/>
      <c r="AX16" s="175"/>
      <c r="AY16" s="175"/>
      <c r="AZ16" s="117"/>
      <c r="BA16" s="175"/>
      <c r="BB16" s="175"/>
      <c r="BC16" s="175"/>
      <c r="BD16" s="175"/>
      <c r="BE16" s="175"/>
      <c r="BF16" s="117"/>
      <c r="BG16" s="175"/>
      <c r="BH16" s="175"/>
      <c r="BI16" s="175"/>
      <c r="BJ16" s="175"/>
      <c r="BK16" s="175"/>
      <c r="BL16" s="117"/>
      <c r="BM16" s="175"/>
      <c r="BN16" s="175"/>
      <c r="BO16" s="175"/>
      <c r="BP16" s="175"/>
      <c r="BQ16" s="175"/>
      <c r="BR16" s="117"/>
      <c r="BS16" s="175"/>
      <c r="BT16" s="175"/>
      <c r="BU16" s="175"/>
      <c r="BV16" s="175"/>
      <c r="BW16" s="175"/>
      <c r="BX16" s="117"/>
      <c r="BY16" s="175"/>
      <c r="BZ16" s="175"/>
      <c r="CA16" s="175"/>
      <c r="CB16" s="175"/>
      <c r="CC16" s="175"/>
      <c r="CD16" s="117"/>
      <c r="CE16" s="175"/>
      <c r="CF16" s="175"/>
      <c r="CG16" s="175"/>
      <c r="CH16" s="175"/>
      <c r="CI16" s="175"/>
      <c r="CJ16" s="117"/>
      <c r="CK16" s="175"/>
      <c r="CL16" s="175"/>
      <c r="CM16" s="175"/>
      <c r="CN16" s="175"/>
      <c r="CO16" s="175"/>
      <c r="CP16" s="117"/>
      <c r="CQ16" s="175"/>
      <c r="CR16" s="175"/>
      <c r="CS16" s="175"/>
      <c r="CT16" s="175"/>
      <c r="CU16" s="175"/>
      <c r="CV16" s="117"/>
      <c r="CW16" s="175"/>
      <c r="CX16" s="175"/>
      <c r="CY16" s="175"/>
      <c r="CZ16" s="175"/>
      <c r="DA16" s="175"/>
      <c r="DB16" s="117"/>
      <c r="DC16" s="175"/>
      <c r="DD16" s="175"/>
      <c r="DE16" s="175"/>
      <c r="DF16" s="175"/>
      <c r="DG16" s="175"/>
      <c r="DH16" s="117"/>
      <c r="DI16" s="175"/>
      <c r="DJ16" s="175"/>
      <c r="DK16" s="175"/>
      <c r="DL16" s="175"/>
      <c r="DM16" s="175"/>
      <c r="DN16" s="117"/>
      <c r="DO16" s="175"/>
      <c r="DP16" s="175"/>
      <c r="DQ16" s="175"/>
      <c r="DR16" s="175"/>
      <c r="DS16" s="175"/>
      <c r="DT16" s="117"/>
      <c r="DU16" s="175"/>
      <c r="DV16" s="175"/>
      <c r="DW16" s="175"/>
      <c r="DX16" s="175"/>
      <c r="DY16" s="175"/>
      <c r="DZ16" s="117"/>
      <c r="EA16" s="175"/>
      <c r="EB16" s="175"/>
      <c r="EC16" s="175"/>
      <c r="ED16" s="175"/>
      <c r="EE16" s="175"/>
      <c r="EF16" s="117"/>
      <c r="EG16" s="175"/>
      <c r="EH16" s="175"/>
      <c r="EI16" s="175"/>
      <c r="EJ16" s="175"/>
      <c r="EK16" s="175"/>
      <c r="EL16" s="117"/>
      <c r="EM16" s="175"/>
      <c r="EN16" s="175"/>
      <c r="EO16" s="175"/>
      <c r="EP16" s="175"/>
      <c r="EQ16" s="175"/>
      <c r="ER16" s="117"/>
      <c r="ES16" s="175"/>
      <c r="ET16" s="175"/>
      <c r="EU16" s="175"/>
      <c r="EV16" s="175"/>
      <c r="EW16" s="175"/>
      <c r="EX16" s="117"/>
      <c r="EY16" s="175"/>
      <c r="EZ16" s="175"/>
      <c r="FA16" s="175"/>
      <c r="FB16" s="175"/>
      <c r="FC16" s="175"/>
      <c r="FD16" s="117"/>
      <c r="FE16" s="175"/>
      <c r="FF16" s="175"/>
      <c r="FG16" s="175"/>
      <c r="FH16" s="175"/>
      <c r="FI16" s="175"/>
      <c r="FJ16" s="117"/>
      <c r="FK16" s="175"/>
      <c r="FL16" s="175"/>
      <c r="FM16" s="175"/>
      <c r="FN16" s="175"/>
      <c r="FO16" s="175"/>
      <c r="FP16" s="117"/>
      <c r="FQ16" s="175"/>
      <c r="FR16" s="175"/>
      <c r="FS16" s="175"/>
      <c r="FT16" s="175"/>
      <c r="FU16" s="175"/>
      <c r="FV16" s="117"/>
      <c r="FW16" s="175"/>
      <c r="FX16" s="175"/>
      <c r="FY16" s="175"/>
      <c r="FZ16" s="175"/>
      <c r="GA16" s="175"/>
      <c r="GB16" s="117"/>
      <c r="GC16" s="175"/>
      <c r="GD16" s="175"/>
      <c r="GE16" s="175"/>
      <c r="GF16" s="175"/>
      <c r="GG16" s="175"/>
      <c r="GH16" s="117"/>
      <c r="GI16" s="175"/>
      <c r="GJ16" s="175"/>
      <c r="GK16" s="175"/>
      <c r="GL16" s="175"/>
      <c r="GM16" s="175"/>
      <c r="GN16" s="117"/>
      <c r="GO16" s="175"/>
      <c r="GP16" s="175"/>
      <c r="GQ16" s="175"/>
      <c r="GR16" s="175"/>
      <c r="GS16" s="175"/>
      <c r="GT16" s="117"/>
      <c r="GU16" s="175"/>
      <c r="GV16" s="175"/>
      <c r="GW16" s="175"/>
      <c r="GX16" s="175"/>
      <c r="GY16" s="175"/>
      <c r="GZ16" s="117"/>
      <c r="HA16" s="175"/>
      <c r="HB16" s="175"/>
      <c r="HC16" s="175"/>
      <c r="HD16" s="175"/>
      <c r="HE16" s="175"/>
      <c r="HF16" s="117"/>
      <c r="HG16" s="175"/>
      <c r="HH16" s="175"/>
      <c r="HI16" s="175"/>
      <c r="HJ16" s="175"/>
      <c r="HK16" s="175"/>
      <c r="HL16" s="117"/>
      <c r="HM16" s="175"/>
      <c r="HN16" s="175"/>
      <c r="HO16" s="175"/>
      <c r="HP16" s="175"/>
      <c r="HQ16" s="175"/>
      <c r="HR16" s="117"/>
      <c r="HS16" s="175"/>
      <c r="HT16" s="175"/>
      <c r="HU16" s="175"/>
      <c r="HV16" s="175"/>
      <c r="HW16" s="175"/>
      <c r="HX16" s="117"/>
      <c r="HY16" s="175"/>
      <c r="HZ16" s="175"/>
      <c r="IA16" s="175"/>
      <c r="IB16" s="175"/>
      <c r="IC16" s="175"/>
      <c r="ID16" s="117"/>
      <c r="IE16" s="175"/>
      <c r="IF16" s="175"/>
      <c r="IG16" s="175"/>
      <c r="IH16" s="175"/>
      <c r="II16" s="175"/>
      <c r="IJ16" s="117"/>
      <c r="IK16" s="175"/>
      <c r="IL16" s="175"/>
      <c r="IM16" s="175"/>
      <c r="IN16" s="175"/>
      <c r="IO16" s="175"/>
      <c r="IP16" s="117"/>
      <c r="IQ16" s="175"/>
      <c r="IR16" s="175"/>
      <c r="IS16" s="175"/>
      <c r="IT16" s="175"/>
      <c r="IU16" s="175"/>
      <c r="IV16" s="117"/>
    </row>
    <row r="17" spans="1:256" s="121" customFormat="1" ht="17.100000000000001" customHeight="1">
      <c r="A17" s="111"/>
      <c r="B17" s="114"/>
      <c r="C17" s="114"/>
      <c r="D17" s="126"/>
      <c r="E17" s="123"/>
      <c r="F17" s="123"/>
      <c r="G17" s="123"/>
      <c r="H17" s="123"/>
      <c r="I17" s="123"/>
      <c r="J17" s="117"/>
      <c r="K17" s="175"/>
      <c r="L17" s="175"/>
      <c r="M17" s="175"/>
      <c r="N17" s="175"/>
      <c r="O17" s="175"/>
      <c r="P17" s="117"/>
      <c r="Q17" s="175"/>
      <c r="R17" s="175"/>
      <c r="S17" s="175"/>
      <c r="T17" s="175"/>
      <c r="U17" s="175"/>
      <c r="V17" s="117"/>
      <c r="W17" s="175"/>
      <c r="X17" s="175"/>
      <c r="Y17" s="175"/>
      <c r="Z17" s="175"/>
      <c r="AA17" s="175"/>
      <c r="AB17" s="117"/>
      <c r="AC17" s="175"/>
      <c r="AD17" s="175"/>
      <c r="AE17" s="175"/>
      <c r="AF17" s="175"/>
      <c r="AG17" s="175"/>
      <c r="AH17" s="117"/>
      <c r="AI17" s="175"/>
      <c r="AJ17" s="175"/>
      <c r="AK17" s="175"/>
      <c r="AL17" s="175"/>
      <c r="AM17" s="175"/>
      <c r="AN17" s="117"/>
      <c r="AO17" s="175"/>
      <c r="AP17" s="175"/>
      <c r="AQ17" s="175"/>
      <c r="AR17" s="175"/>
      <c r="AS17" s="175"/>
      <c r="AT17" s="117"/>
      <c r="AU17" s="175"/>
      <c r="AV17" s="175"/>
      <c r="AW17" s="175"/>
      <c r="AX17" s="175"/>
      <c r="AY17" s="175"/>
      <c r="AZ17" s="117"/>
      <c r="BA17" s="175"/>
      <c r="BB17" s="175"/>
      <c r="BC17" s="175"/>
      <c r="BD17" s="175"/>
      <c r="BE17" s="175"/>
      <c r="BF17" s="117"/>
      <c r="BG17" s="175"/>
      <c r="BH17" s="175"/>
      <c r="BI17" s="175"/>
      <c r="BJ17" s="175"/>
      <c r="BK17" s="175"/>
      <c r="BL17" s="117"/>
      <c r="BM17" s="175"/>
      <c r="BN17" s="175"/>
      <c r="BO17" s="175"/>
      <c r="BP17" s="175"/>
      <c r="BQ17" s="175"/>
      <c r="BR17" s="117"/>
      <c r="BS17" s="175"/>
      <c r="BT17" s="175"/>
      <c r="BU17" s="175"/>
      <c r="BV17" s="175"/>
      <c r="BW17" s="175"/>
      <c r="BX17" s="117"/>
      <c r="BY17" s="175"/>
      <c r="BZ17" s="175"/>
      <c r="CA17" s="175"/>
      <c r="CB17" s="175"/>
      <c r="CC17" s="175"/>
      <c r="CD17" s="117"/>
      <c r="CE17" s="175"/>
      <c r="CF17" s="175"/>
      <c r="CG17" s="175"/>
      <c r="CH17" s="175"/>
      <c r="CI17" s="175"/>
      <c r="CJ17" s="117"/>
      <c r="CK17" s="175"/>
      <c r="CL17" s="175"/>
      <c r="CM17" s="175"/>
      <c r="CN17" s="175"/>
      <c r="CO17" s="175"/>
      <c r="CP17" s="117"/>
      <c r="CQ17" s="175"/>
      <c r="CR17" s="175"/>
      <c r="CS17" s="175"/>
      <c r="CT17" s="175"/>
      <c r="CU17" s="175"/>
      <c r="CV17" s="117"/>
      <c r="CW17" s="175"/>
      <c r="CX17" s="175"/>
      <c r="CY17" s="175"/>
      <c r="CZ17" s="175"/>
      <c r="DA17" s="175"/>
      <c r="DB17" s="117"/>
      <c r="DC17" s="175"/>
      <c r="DD17" s="175"/>
      <c r="DE17" s="175"/>
      <c r="DF17" s="175"/>
      <c r="DG17" s="175"/>
      <c r="DH17" s="117"/>
      <c r="DI17" s="175"/>
      <c r="DJ17" s="175"/>
      <c r="DK17" s="175"/>
      <c r="DL17" s="175"/>
      <c r="DM17" s="175"/>
      <c r="DN17" s="117"/>
      <c r="DO17" s="175"/>
      <c r="DP17" s="175"/>
      <c r="DQ17" s="175"/>
      <c r="DR17" s="175"/>
      <c r="DS17" s="175"/>
      <c r="DT17" s="117"/>
      <c r="DU17" s="175"/>
      <c r="DV17" s="175"/>
      <c r="DW17" s="175"/>
      <c r="DX17" s="175"/>
      <c r="DY17" s="175"/>
      <c r="DZ17" s="117"/>
      <c r="EA17" s="175"/>
      <c r="EB17" s="175"/>
      <c r="EC17" s="175"/>
      <c r="ED17" s="175"/>
      <c r="EE17" s="175"/>
      <c r="EF17" s="117"/>
      <c r="EG17" s="175"/>
      <c r="EH17" s="175"/>
      <c r="EI17" s="175"/>
      <c r="EJ17" s="175"/>
      <c r="EK17" s="175"/>
      <c r="EL17" s="117"/>
      <c r="EM17" s="175"/>
      <c r="EN17" s="175"/>
      <c r="EO17" s="175"/>
      <c r="EP17" s="175"/>
      <c r="EQ17" s="175"/>
      <c r="ER17" s="117"/>
      <c r="ES17" s="175"/>
      <c r="ET17" s="175"/>
      <c r="EU17" s="175"/>
      <c r="EV17" s="175"/>
      <c r="EW17" s="175"/>
      <c r="EX17" s="117"/>
      <c r="EY17" s="175"/>
      <c r="EZ17" s="175"/>
      <c r="FA17" s="175"/>
      <c r="FB17" s="175"/>
      <c r="FC17" s="175"/>
      <c r="FD17" s="117"/>
      <c r="FE17" s="175"/>
      <c r="FF17" s="175"/>
      <c r="FG17" s="175"/>
      <c r="FH17" s="175"/>
      <c r="FI17" s="175"/>
      <c r="FJ17" s="117"/>
      <c r="FK17" s="175"/>
      <c r="FL17" s="175"/>
      <c r="FM17" s="175"/>
      <c r="FN17" s="175"/>
      <c r="FO17" s="175"/>
      <c r="FP17" s="117"/>
      <c r="FQ17" s="175"/>
      <c r="FR17" s="175"/>
      <c r="FS17" s="175"/>
      <c r="FT17" s="175"/>
      <c r="FU17" s="175"/>
      <c r="FV17" s="117"/>
      <c r="FW17" s="175"/>
      <c r="FX17" s="175"/>
      <c r="FY17" s="175"/>
      <c r="FZ17" s="175"/>
      <c r="GA17" s="175"/>
      <c r="GB17" s="117"/>
      <c r="GC17" s="175"/>
      <c r="GD17" s="175"/>
      <c r="GE17" s="175"/>
      <c r="GF17" s="175"/>
      <c r="GG17" s="175"/>
      <c r="GH17" s="117"/>
      <c r="GI17" s="175"/>
      <c r="GJ17" s="175"/>
      <c r="GK17" s="175"/>
      <c r="GL17" s="175"/>
      <c r="GM17" s="175"/>
      <c r="GN17" s="117"/>
      <c r="GO17" s="175"/>
      <c r="GP17" s="175"/>
      <c r="GQ17" s="175"/>
      <c r="GR17" s="175"/>
      <c r="GS17" s="175"/>
      <c r="GT17" s="117"/>
      <c r="GU17" s="175"/>
      <c r="GV17" s="175"/>
      <c r="GW17" s="175"/>
      <c r="GX17" s="175"/>
      <c r="GY17" s="175"/>
      <c r="GZ17" s="117"/>
      <c r="HA17" s="175"/>
      <c r="HB17" s="175"/>
      <c r="HC17" s="175"/>
      <c r="HD17" s="175"/>
      <c r="HE17" s="175"/>
      <c r="HF17" s="117"/>
      <c r="HG17" s="175"/>
      <c r="HH17" s="175"/>
      <c r="HI17" s="175"/>
      <c r="HJ17" s="175"/>
      <c r="HK17" s="175"/>
      <c r="HL17" s="117"/>
      <c r="HM17" s="175"/>
      <c r="HN17" s="175"/>
      <c r="HO17" s="175"/>
      <c r="HP17" s="175"/>
      <c r="HQ17" s="175"/>
      <c r="HR17" s="117"/>
      <c r="HS17" s="175"/>
      <c r="HT17" s="175"/>
      <c r="HU17" s="175"/>
      <c r="HV17" s="175"/>
      <c r="HW17" s="175"/>
      <c r="HX17" s="117"/>
      <c r="HY17" s="175"/>
      <c r="HZ17" s="175"/>
      <c r="IA17" s="175"/>
      <c r="IB17" s="175"/>
      <c r="IC17" s="175"/>
      <c r="ID17" s="117"/>
      <c r="IE17" s="175"/>
      <c r="IF17" s="175"/>
      <c r="IG17" s="175"/>
      <c r="IH17" s="175"/>
      <c r="II17" s="175"/>
      <c r="IJ17" s="117"/>
      <c r="IK17" s="175"/>
      <c r="IL17" s="175"/>
      <c r="IM17" s="175"/>
      <c r="IN17" s="175"/>
      <c r="IO17" s="175"/>
      <c r="IP17" s="117"/>
      <c r="IQ17" s="175"/>
      <c r="IR17" s="175"/>
      <c r="IS17" s="175"/>
      <c r="IT17" s="175"/>
      <c r="IU17" s="175"/>
      <c r="IV17" s="117"/>
    </row>
    <row r="18" spans="1:256" s="121" customFormat="1" ht="17.100000000000001" customHeight="1">
      <c r="A18" s="111"/>
      <c r="B18" s="114"/>
      <c r="C18" s="114"/>
      <c r="D18" s="126"/>
      <c r="E18" s="123"/>
      <c r="F18" s="123"/>
      <c r="G18" s="123"/>
      <c r="H18" s="123"/>
      <c r="I18" s="123"/>
      <c r="J18" s="117"/>
      <c r="K18" s="175"/>
      <c r="L18" s="175"/>
      <c r="M18" s="175"/>
      <c r="N18" s="175"/>
      <c r="O18" s="175"/>
      <c r="P18" s="117"/>
      <c r="Q18" s="175"/>
      <c r="R18" s="175"/>
      <c r="S18" s="175"/>
      <c r="T18" s="175"/>
      <c r="U18" s="175"/>
      <c r="V18" s="117"/>
      <c r="W18" s="175"/>
      <c r="X18" s="175"/>
      <c r="Y18" s="175"/>
      <c r="Z18" s="175"/>
      <c r="AA18" s="175"/>
      <c r="AB18" s="117"/>
      <c r="AC18" s="175"/>
      <c r="AD18" s="175"/>
      <c r="AE18" s="175"/>
      <c r="AF18" s="175"/>
      <c r="AG18" s="175"/>
      <c r="AH18" s="117"/>
      <c r="AI18" s="175"/>
      <c r="AJ18" s="175"/>
      <c r="AK18" s="175"/>
      <c r="AL18" s="175"/>
      <c r="AM18" s="175"/>
      <c r="AN18" s="117"/>
      <c r="AO18" s="175"/>
      <c r="AP18" s="175"/>
      <c r="AQ18" s="175"/>
      <c r="AR18" s="175"/>
      <c r="AS18" s="175"/>
      <c r="AT18" s="117"/>
      <c r="AU18" s="175"/>
      <c r="AV18" s="175"/>
      <c r="AW18" s="175"/>
      <c r="AX18" s="175"/>
      <c r="AY18" s="175"/>
      <c r="AZ18" s="117"/>
      <c r="BA18" s="175"/>
      <c r="BB18" s="175"/>
      <c r="BC18" s="175"/>
      <c r="BD18" s="175"/>
      <c r="BE18" s="175"/>
      <c r="BF18" s="117"/>
      <c r="BG18" s="175"/>
      <c r="BH18" s="175"/>
      <c r="BI18" s="175"/>
      <c r="BJ18" s="175"/>
      <c r="BK18" s="175"/>
      <c r="BL18" s="117"/>
      <c r="BM18" s="175"/>
      <c r="BN18" s="175"/>
      <c r="BO18" s="175"/>
      <c r="BP18" s="175"/>
      <c r="BQ18" s="175"/>
      <c r="BR18" s="117"/>
      <c r="BS18" s="175"/>
      <c r="BT18" s="175"/>
      <c r="BU18" s="175"/>
      <c r="BV18" s="175"/>
      <c r="BW18" s="175"/>
      <c r="BX18" s="117"/>
      <c r="BY18" s="175"/>
      <c r="BZ18" s="175"/>
      <c r="CA18" s="175"/>
      <c r="CB18" s="175"/>
      <c r="CC18" s="175"/>
      <c r="CD18" s="117"/>
      <c r="CE18" s="175"/>
      <c r="CF18" s="175"/>
      <c r="CG18" s="175"/>
      <c r="CH18" s="175"/>
      <c r="CI18" s="175"/>
      <c r="CJ18" s="117"/>
      <c r="CK18" s="175"/>
      <c r="CL18" s="175"/>
      <c r="CM18" s="175"/>
      <c r="CN18" s="175"/>
      <c r="CO18" s="175"/>
      <c r="CP18" s="117"/>
      <c r="CQ18" s="175"/>
      <c r="CR18" s="175"/>
      <c r="CS18" s="175"/>
      <c r="CT18" s="175"/>
      <c r="CU18" s="175"/>
      <c r="CV18" s="117"/>
      <c r="CW18" s="175"/>
      <c r="CX18" s="175"/>
      <c r="CY18" s="175"/>
      <c r="CZ18" s="175"/>
      <c r="DA18" s="175"/>
      <c r="DB18" s="117"/>
      <c r="DC18" s="175"/>
      <c r="DD18" s="175"/>
      <c r="DE18" s="175"/>
      <c r="DF18" s="175"/>
      <c r="DG18" s="175"/>
      <c r="DH18" s="117"/>
      <c r="DI18" s="175"/>
      <c r="DJ18" s="175"/>
      <c r="DK18" s="175"/>
      <c r="DL18" s="175"/>
      <c r="DM18" s="175"/>
      <c r="DN18" s="117"/>
      <c r="DO18" s="175"/>
      <c r="DP18" s="175"/>
      <c r="DQ18" s="175"/>
      <c r="DR18" s="175"/>
      <c r="DS18" s="175"/>
      <c r="DT18" s="117"/>
      <c r="DU18" s="175"/>
      <c r="DV18" s="175"/>
      <c r="DW18" s="175"/>
      <c r="DX18" s="175"/>
      <c r="DY18" s="175"/>
      <c r="DZ18" s="117"/>
      <c r="EA18" s="175"/>
      <c r="EB18" s="175"/>
      <c r="EC18" s="175"/>
      <c r="ED18" s="175"/>
      <c r="EE18" s="175"/>
      <c r="EF18" s="117"/>
      <c r="EG18" s="175"/>
      <c r="EH18" s="175"/>
      <c r="EI18" s="175"/>
      <c r="EJ18" s="175"/>
      <c r="EK18" s="175"/>
      <c r="EL18" s="117"/>
      <c r="EM18" s="175"/>
      <c r="EN18" s="175"/>
      <c r="EO18" s="175"/>
      <c r="EP18" s="175"/>
      <c r="EQ18" s="175"/>
      <c r="ER18" s="117"/>
      <c r="ES18" s="175"/>
      <c r="ET18" s="175"/>
      <c r="EU18" s="175"/>
      <c r="EV18" s="175"/>
      <c r="EW18" s="175"/>
      <c r="EX18" s="117"/>
      <c r="EY18" s="175"/>
      <c r="EZ18" s="175"/>
      <c r="FA18" s="175"/>
      <c r="FB18" s="175"/>
      <c r="FC18" s="175"/>
      <c r="FD18" s="117"/>
      <c r="FE18" s="175"/>
      <c r="FF18" s="175"/>
      <c r="FG18" s="175"/>
      <c r="FH18" s="175"/>
      <c r="FI18" s="175"/>
      <c r="FJ18" s="117"/>
      <c r="FK18" s="175"/>
      <c r="FL18" s="175"/>
      <c r="FM18" s="175"/>
      <c r="FN18" s="175"/>
      <c r="FO18" s="175"/>
      <c r="FP18" s="117"/>
      <c r="FQ18" s="175"/>
      <c r="FR18" s="175"/>
      <c r="FS18" s="175"/>
      <c r="FT18" s="175"/>
      <c r="FU18" s="175"/>
      <c r="FV18" s="117"/>
      <c r="FW18" s="175"/>
      <c r="FX18" s="175"/>
      <c r="FY18" s="175"/>
      <c r="FZ18" s="175"/>
      <c r="GA18" s="175"/>
      <c r="GB18" s="117"/>
      <c r="GC18" s="175"/>
      <c r="GD18" s="175"/>
      <c r="GE18" s="175"/>
      <c r="GF18" s="175"/>
      <c r="GG18" s="175"/>
      <c r="GH18" s="117"/>
      <c r="GI18" s="175"/>
      <c r="GJ18" s="175"/>
      <c r="GK18" s="175"/>
      <c r="GL18" s="175"/>
      <c r="GM18" s="175"/>
      <c r="GN18" s="117"/>
      <c r="GO18" s="175"/>
      <c r="GP18" s="175"/>
      <c r="GQ18" s="175"/>
      <c r="GR18" s="175"/>
      <c r="GS18" s="175"/>
      <c r="GT18" s="117"/>
      <c r="GU18" s="175"/>
      <c r="GV18" s="175"/>
      <c r="GW18" s="175"/>
      <c r="GX18" s="175"/>
      <c r="GY18" s="175"/>
      <c r="GZ18" s="117"/>
      <c r="HA18" s="175"/>
      <c r="HB18" s="175"/>
      <c r="HC18" s="175"/>
      <c r="HD18" s="175"/>
      <c r="HE18" s="175"/>
      <c r="HF18" s="117"/>
      <c r="HG18" s="175"/>
      <c r="HH18" s="175"/>
      <c r="HI18" s="175"/>
      <c r="HJ18" s="175"/>
      <c r="HK18" s="175"/>
      <c r="HL18" s="117"/>
      <c r="HM18" s="175"/>
      <c r="HN18" s="175"/>
      <c r="HO18" s="175"/>
      <c r="HP18" s="175"/>
      <c r="HQ18" s="175"/>
      <c r="HR18" s="117"/>
      <c r="HS18" s="175"/>
      <c r="HT18" s="175"/>
      <c r="HU18" s="175"/>
      <c r="HV18" s="175"/>
      <c r="HW18" s="175"/>
      <c r="HX18" s="117"/>
      <c r="HY18" s="175"/>
      <c r="HZ18" s="175"/>
      <c r="IA18" s="175"/>
      <c r="IB18" s="175"/>
      <c r="IC18" s="175"/>
      <c r="ID18" s="117"/>
      <c r="IE18" s="175"/>
      <c r="IF18" s="175"/>
      <c r="IG18" s="175"/>
      <c r="IH18" s="175"/>
      <c r="II18" s="175"/>
      <c r="IJ18" s="117"/>
      <c r="IK18" s="175"/>
      <c r="IL18" s="175"/>
      <c r="IM18" s="175"/>
      <c r="IN18" s="175"/>
      <c r="IO18" s="175"/>
      <c r="IP18" s="117"/>
      <c r="IQ18" s="175"/>
      <c r="IR18" s="175"/>
      <c r="IS18" s="175"/>
      <c r="IT18" s="175"/>
      <c r="IU18" s="175"/>
      <c r="IV18" s="117"/>
    </row>
    <row r="19" spans="1:256" s="121" customFormat="1" ht="29.1" customHeight="1">
      <c r="A19" s="111">
        <v>3</v>
      </c>
      <c r="B19" s="114" t="s">
        <v>1063</v>
      </c>
      <c r="C19" s="114"/>
      <c r="D19" s="126"/>
      <c r="E19" s="123"/>
      <c r="F19" s="123"/>
      <c r="G19" s="123"/>
      <c r="H19" s="123"/>
      <c r="I19" s="123"/>
      <c r="J19" s="117"/>
      <c r="K19" s="175"/>
      <c r="L19" s="175"/>
      <c r="M19" s="175"/>
      <c r="N19" s="175"/>
      <c r="O19" s="175"/>
      <c r="P19" s="117"/>
      <c r="Q19" s="175"/>
      <c r="R19" s="175"/>
      <c r="S19" s="175"/>
      <c r="T19" s="175"/>
      <c r="U19" s="175"/>
      <c r="V19" s="117"/>
      <c r="W19" s="175"/>
      <c r="X19" s="175"/>
      <c r="Y19" s="175"/>
      <c r="Z19" s="175"/>
      <c r="AA19" s="175"/>
      <c r="AB19" s="117"/>
      <c r="AC19" s="175"/>
      <c r="AD19" s="175"/>
      <c r="AE19" s="175"/>
      <c r="AF19" s="175"/>
      <c r="AG19" s="175"/>
      <c r="AH19" s="117"/>
      <c r="AI19" s="175"/>
      <c r="AJ19" s="175"/>
      <c r="AK19" s="175"/>
      <c r="AL19" s="175"/>
      <c r="AM19" s="175"/>
      <c r="AN19" s="117"/>
      <c r="AO19" s="175"/>
      <c r="AP19" s="175"/>
      <c r="AQ19" s="175"/>
      <c r="AR19" s="175"/>
      <c r="AS19" s="175"/>
      <c r="AT19" s="117"/>
      <c r="AU19" s="175"/>
      <c r="AV19" s="175"/>
      <c r="AW19" s="175"/>
      <c r="AX19" s="175"/>
      <c r="AY19" s="175"/>
      <c r="AZ19" s="117"/>
      <c r="BA19" s="175"/>
      <c r="BB19" s="175"/>
      <c r="BC19" s="175"/>
      <c r="BD19" s="175"/>
      <c r="BE19" s="175"/>
      <c r="BF19" s="117"/>
      <c r="BG19" s="175"/>
      <c r="BH19" s="175"/>
      <c r="BI19" s="175"/>
      <c r="BJ19" s="175"/>
      <c r="BK19" s="175"/>
      <c r="BL19" s="117"/>
      <c r="BM19" s="175"/>
      <c r="BN19" s="175"/>
      <c r="BO19" s="175"/>
      <c r="BP19" s="175"/>
      <c r="BQ19" s="175"/>
      <c r="BR19" s="117"/>
      <c r="BS19" s="175"/>
      <c r="BT19" s="175"/>
      <c r="BU19" s="175"/>
      <c r="BV19" s="175"/>
      <c r="BW19" s="175"/>
      <c r="BX19" s="117"/>
      <c r="BY19" s="175"/>
      <c r="BZ19" s="175"/>
      <c r="CA19" s="175"/>
      <c r="CB19" s="175"/>
      <c r="CC19" s="175"/>
      <c r="CD19" s="117"/>
      <c r="CE19" s="175"/>
      <c r="CF19" s="175"/>
      <c r="CG19" s="175"/>
      <c r="CH19" s="175"/>
      <c r="CI19" s="175"/>
      <c r="CJ19" s="117"/>
      <c r="CK19" s="175"/>
      <c r="CL19" s="175"/>
      <c r="CM19" s="175"/>
      <c r="CN19" s="175"/>
      <c r="CO19" s="175"/>
      <c r="CP19" s="117"/>
      <c r="CQ19" s="175"/>
      <c r="CR19" s="175"/>
      <c r="CS19" s="175"/>
      <c r="CT19" s="175"/>
      <c r="CU19" s="175"/>
      <c r="CV19" s="117"/>
      <c r="CW19" s="175"/>
      <c r="CX19" s="175"/>
      <c r="CY19" s="175"/>
      <c r="CZ19" s="175"/>
      <c r="DA19" s="175"/>
      <c r="DB19" s="117"/>
      <c r="DC19" s="175"/>
      <c r="DD19" s="175"/>
      <c r="DE19" s="175"/>
      <c r="DF19" s="175"/>
      <c r="DG19" s="175"/>
      <c r="DH19" s="117"/>
      <c r="DI19" s="175"/>
      <c r="DJ19" s="175"/>
      <c r="DK19" s="175"/>
      <c r="DL19" s="175"/>
      <c r="DM19" s="175"/>
      <c r="DN19" s="117"/>
      <c r="DO19" s="175"/>
      <c r="DP19" s="175"/>
      <c r="DQ19" s="175"/>
      <c r="DR19" s="175"/>
      <c r="DS19" s="175"/>
      <c r="DT19" s="117"/>
      <c r="DU19" s="175"/>
      <c r="DV19" s="175"/>
      <c r="DW19" s="175"/>
      <c r="DX19" s="175"/>
      <c r="DY19" s="175"/>
      <c r="DZ19" s="117"/>
      <c r="EA19" s="175"/>
      <c r="EB19" s="175"/>
      <c r="EC19" s="175"/>
      <c r="ED19" s="175"/>
      <c r="EE19" s="175"/>
      <c r="EF19" s="117"/>
      <c r="EG19" s="175"/>
      <c r="EH19" s="175"/>
      <c r="EI19" s="175"/>
      <c r="EJ19" s="175"/>
      <c r="EK19" s="175"/>
      <c r="EL19" s="117"/>
      <c r="EM19" s="175"/>
      <c r="EN19" s="175"/>
      <c r="EO19" s="175"/>
      <c r="EP19" s="175"/>
      <c r="EQ19" s="175"/>
      <c r="ER19" s="117"/>
      <c r="ES19" s="175"/>
      <c r="ET19" s="175"/>
      <c r="EU19" s="175"/>
      <c r="EV19" s="175"/>
      <c r="EW19" s="175"/>
      <c r="EX19" s="117"/>
      <c r="EY19" s="175"/>
      <c r="EZ19" s="175"/>
      <c r="FA19" s="175"/>
      <c r="FB19" s="175"/>
      <c r="FC19" s="175"/>
      <c r="FD19" s="117"/>
      <c r="FE19" s="175"/>
      <c r="FF19" s="175"/>
      <c r="FG19" s="175"/>
      <c r="FH19" s="175"/>
      <c r="FI19" s="175"/>
      <c r="FJ19" s="117"/>
      <c r="FK19" s="175"/>
      <c r="FL19" s="175"/>
      <c r="FM19" s="175"/>
      <c r="FN19" s="175"/>
      <c r="FO19" s="175"/>
      <c r="FP19" s="117"/>
      <c r="FQ19" s="175"/>
      <c r="FR19" s="175"/>
      <c r="FS19" s="175"/>
      <c r="FT19" s="175"/>
      <c r="FU19" s="175"/>
      <c r="FV19" s="117"/>
      <c r="FW19" s="175"/>
      <c r="FX19" s="175"/>
      <c r="FY19" s="175"/>
      <c r="FZ19" s="175"/>
      <c r="GA19" s="175"/>
      <c r="GB19" s="117"/>
      <c r="GC19" s="175"/>
      <c r="GD19" s="175"/>
      <c r="GE19" s="175"/>
      <c r="GF19" s="175"/>
      <c r="GG19" s="175"/>
      <c r="GH19" s="117"/>
      <c r="GI19" s="175"/>
      <c r="GJ19" s="175"/>
      <c r="GK19" s="175"/>
      <c r="GL19" s="175"/>
      <c r="GM19" s="175"/>
      <c r="GN19" s="117"/>
      <c r="GO19" s="175"/>
      <c r="GP19" s="175"/>
      <c r="GQ19" s="175"/>
      <c r="GR19" s="175"/>
      <c r="GS19" s="175"/>
      <c r="GT19" s="117"/>
      <c r="GU19" s="175"/>
      <c r="GV19" s="175"/>
      <c r="GW19" s="175"/>
      <c r="GX19" s="175"/>
      <c r="GY19" s="175"/>
      <c r="GZ19" s="117"/>
      <c r="HA19" s="175"/>
      <c r="HB19" s="175"/>
      <c r="HC19" s="175"/>
      <c r="HD19" s="175"/>
      <c r="HE19" s="175"/>
      <c r="HF19" s="117"/>
      <c r="HG19" s="175"/>
      <c r="HH19" s="175"/>
      <c r="HI19" s="175"/>
      <c r="HJ19" s="175"/>
      <c r="HK19" s="175"/>
      <c r="HL19" s="117"/>
      <c r="HM19" s="175"/>
      <c r="HN19" s="175"/>
      <c r="HO19" s="175"/>
      <c r="HP19" s="175"/>
      <c r="HQ19" s="175"/>
      <c r="HR19" s="117"/>
      <c r="HS19" s="175"/>
      <c r="HT19" s="175"/>
      <c r="HU19" s="175"/>
      <c r="HV19" s="175"/>
      <c r="HW19" s="175"/>
      <c r="HX19" s="117"/>
      <c r="HY19" s="175"/>
      <c r="HZ19" s="175"/>
      <c r="IA19" s="175"/>
      <c r="IB19" s="175"/>
      <c r="IC19" s="175"/>
      <c r="ID19" s="117"/>
      <c r="IE19" s="175"/>
      <c r="IF19" s="175"/>
      <c r="IG19" s="175"/>
      <c r="IH19" s="175"/>
      <c r="II19" s="175"/>
      <c r="IJ19" s="117"/>
      <c r="IK19" s="175"/>
      <c r="IL19" s="175"/>
      <c r="IM19" s="175"/>
      <c r="IN19" s="175"/>
      <c r="IO19" s="175"/>
      <c r="IP19" s="117"/>
      <c r="IQ19" s="175"/>
      <c r="IR19" s="175"/>
      <c r="IS19" s="175"/>
      <c r="IT19" s="175"/>
      <c r="IU19" s="175"/>
      <c r="IV19" s="117"/>
    </row>
    <row r="20" spans="1:256" s="121" customFormat="1" ht="17.100000000000001" customHeight="1">
      <c r="A20" s="111"/>
      <c r="B20" s="114"/>
      <c r="C20" s="114"/>
      <c r="D20" s="126"/>
      <c r="E20" s="123"/>
      <c r="F20" s="123"/>
      <c r="G20" s="123"/>
      <c r="H20" s="123"/>
      <c r="I20" s="123"/>
      <c r="J20" s="117"/>
      <c r="K20" s="175"/>
      <c r="L20" s="175"/>
      <c r="M20" s="175"/>
      <c r="N20" s="175"/>
      <c r="O20" s="175"/>
      <c r="P20" s="117"/>
      <c r="Q20" s="175"/>
      <c r="R20" s="175"/>
      <c r="S20" s="175"/>
      <c r="T20" s="175"/>
      <c r="U20" s="175"/>
      <c r="V20" s="117"/>
      <c r="W20" s="175"/>
      <c r="X20" s="175"/>
      <c r="Y20" s="175"/>
      <c r="Z20" s="175"/>
      <c r="AA20" s="175"/>
      <c r="AB20" s="117"/>
      <c r="AC20" s="175"/>
      <c r="AD20" s="175"/>
      <c r="AE20" s="175"/>
      <c r="AF20" s="175"/>
      <c r="AG20" s="175"/>
      <c r="AH20" s="117"/>
      <c r="AI20" s="175"/>
      <c r="AJ20" s="175"/>
      <c r="AK20" s="175"/>
      <c r="AL20" s="175"/>
      <c r="AM20" s="175"/>
      <c r="AN20" s="117"/>
      <c r="AO20" s="175"/>
      <c r="AP20" s="175"/>
      <c r="AQ20" s="175"/>
      <c r="AR20" s="175"/>
      <c r="AS20" s="175"/>
      <c r="AT20" s="117"/>
      <c r="AU20" s="175"/>
      <c r="AV20" s="175"/>
      <c r="AW20" s="175"/>
      <c r="AX20" s="175"/>
      <c r="AY20" s="175"/>
      <c r="AZ20" s="117"/>
      <c r="BA20" s="175"/>
      <c r="BB20" s="175"/>
      <c r="BC20" s="175"/>
      <c r="BD20" s="175"/>
      <c r="BE20" s="175"/>
      <c r="BF20" s="117"/>
      <c r="BG20" s="175"/>
      <c r="BH20" s="175"/>
      <c r="BI20" s="175"/>
      <c r="BJ20" s="175"/>
      <c r="BK20" s="175"/>
      <c r="BL20" s="117"/>
      <c r="BM20" s="175"/>
      <c r="BN20" s="175"/>
      <c r="BO20" s="175"/>
      <c r="BP20" s="175"/>
      <c r="BQ20" s="175"/>
      <c r="BR20" s="117"/>
      <c r="BS20" s="175"/>
      <c r="BT20" s="175"/>
      <c r="BU20" s="175"/>
      <c r="BV20" s="175"/>
      <c r="BW20" s="175"/>
      <c r="BX20" s="117"/>
      <c r="BY20" s="175"/>
      <c r="BZ20" s="175"/>
      <c r="CA20" s="175"/>
      <c r="CB20" s="175"/>
      <c r="CC20" s="175"/>
      <c r="CD20" s="117"/>
      <c r="CE20" s="175"/>
      <c r="CF20" s="175"/>
      <c r="CG20" s="175"/>
      <c r="CH20" s="175"/>
      <c r="CI20" s="175"/>
      <c r="CJ20" s="117"/>
      <c r="CK20" s="175"/>
      <c r="CL20" s="175"/>
      <c r="CM20" s="175"/>
      <c r="CN20" s="175"/>
      <c r="CO20" s="175"/>
      <c r="CP20" s="117"/>
      <c r="CQ20" s="175"/>
      <c r="CR20" s="175"/>
      <c r="CS20" s="175"/>
      <c r="CT20" s="175"/>
      <c r="CU20" s="175"/>
      <c r="CV20" s="117"/>
      <c r="CW20" s="175"/>
      <c r="CX20" s="175"/>
      <c r="CY20" s="175"/>
      <c r="CZ20" s="175"/>
      <c r="DA20" s="175"/>
      <c r="DB20" s="117"/>
      <c r="DC20" s="175"/>
      <c r="DD20" s="175"/>
      <c r="DE20" s="175"/>
      <c r="DF20" s="175"/>
      <c r="DG20" s="175"/>
      <c r="DH20" s="117"/>
      <c r="DI20" s="175"/>
      <c r="DJ20" s="175"/>
      <c r="DK20" s="175"/>
      <c r="DL20" s="175"/>
      <c r="DM20" s="175"/>
      <c r="DN20" s="117"/>
      <c r="DO20" s="175"/>
      <c r="DP20" s="175"/>
      <c r="DQ20" s="175"/>
      <c r="DR20" s="175"/>
      <c r="DS20" s="175"/>
      <c r="DT20" s="117"/>
      <c r="DU20" s="175"/>
      <c r="DV20" s="175"/>
      <c r="DW20" s="175"/>
      <c r="DX20" s="175"/>
      <c r="DY20" s="175"/>
      <c r="DZ20" s="117"/>
      <c r="EA20" s="175"/>
      <c r="EB20" s="175"/>
      <c r="EC20" s="175"/>
      <c r="ED20" s="175"/>
      <c r="EE20" s="175"/>
      <c r="EF20" s="117"/>
      <c r="EG20" s="175"/>
      <c r="EH20" s="175"/>
      <c r="EI20" s="175"/>
      <c r="EJ20" s="175"/>
      <c r="EK20" s="175"/>
      <c r="EL20" s="117"/>
      <c r="EM20" s="175"/>
      <c r="EN20" s="175"/>
      <c r="EO20" s="175"/>
      <c r="EP20" s="175"/>
      <c r="EQ20" s="175"/>
      <c r="ER20" s="117"/>
      <c r="ES20" s="175"/>
      <c r="ET20" s="175"/>
      <c r="EU20" s="175"/>
      <c r="EV20" s="175"/>
      <c r="EW20" s="175"/>
      <c r="EX20" s="117"/>
      <c r="EY20" s="175"/>
      <c r="EZ20" s="175"/>
      <c r="FA20" s="175"/>
      <c r="FB20" s="175"/>
      <c r="FC20" s="175"/>
      <c r="FD20" s="117"/>
      <c r="FE20" s="175"/>
      <c r="FF20" s="175"/>
      <c r="FG20" s="175"/>
      <c r="FH20" s="175"/>
      <c r="FI20" s="175"/>
      <c r="FJ20" s="117"/>
      <c r="FK20" s="175"/>
      <c r="FL20" s="175"/>
      <c r="FM20" s="175"/>
      <c r="FN20" s="175"/>
      <c r="FO20" s="175"/>
      <c r="FP20" s="117"/>
      <c r="FQ20" s="175"/>
      <c r="FR20" s="175"/>
      <c r="FS20" s="175"/>
      <c r="FT20" s="175"/>
      <c r="FU20" s="175"/>
      <c r="FV20" s="117"/>
      <c r="FW20" s="175"/>
      <c r="FX20" s="175"/>
      <c r="FY20" s="175"/>
      <c r="FZ20" s="175"/>
      <c r="GA20" s="175"/>
      <c r="GB20" s="117"/>
      <c r="GC20" s="175"/>
      <c r="GD20" s="175"/>
      <c r="GE20" s="175"/>
      <c r="GF20" s="175"/>
      <c r="GG20" s="175"/>
      <c r="GH20" s="117"/>
      <c r="GI20" s="175"/>
      <c r="GJ20" s="175"/>
      <c r="GK20" s="175"/>
      <c r="GL20" s="175"/>
      <c r="GM20" s="175"/>
      <c r="GN20" s="117"/>
      <c r="GO20" s="175"/>
      <c r="GP20" s="175"/>
      <c r="GQ20" s="175"/>
      <c r="GR20" s="175"/>
      <c r="GS20" s="175"/>
      <c r="GT20" s="117"/>
      <c r="GU20" s="175"/>
      <c r="GV20" s="175"/>
      <c r="GW20" s="175"/>
      <c r="GX20" s="175"/>
      <c r="GY20" s="175"/>
      <c r="GZ20" s="117"/>
      <c r="HA20" s="175"/>
      <c r="HB20" s="175"/>
      <c r="HC20" s="175"/>
      <c r="HD20" s="175"/>
      <c r="HE20" s="175"/>
      <c r="HF20" s="117"/>
      <c r="HG20" s="175"/>
      <c r="HH20" s="175"/>
      <c r="HI20" s="175"/>
      <c r="HJ20" s="175"/>
      <c r="HK20" s="175"/>
      <c r="HL20" s="117"/>
      <c r="HM20" s="175"/>
      <c r="HN20" s="175"/>
      <c r="HO20" s="175"/>
      <c r="HP20" s="175"/>
      <c r="HQ20" s="175"/>
      <c r="HR20" s="117"/>
      <c r="HS20" s="175"/>
      <c r="HT20" s="175"/>
      <c r="HU20" s="175"/>
      <c r="HV20" s="175"/>
      <c r="HW20" s="175"/>
      <c r="HX20" s="117"/>
      <c r="HY20" s="175"/>
      <c r="HZ20" s="175"/>
      <c r="IA20" s="175"/>
      <c r="IB20" s="175"/>
      <c r="IC20" s="175"/>
      <c r="ID20" s="117"/>
      <c r="IE20" s="175"/>
      <c r="IF20" s="175"/>
      <c r="IG20" s="175"/>
      <c r="IH20" s="175"/>
      <c r="II20" s="175"/>
      <c r="IJ20" s="117"/>
      <c r="IK20" s="175"/>
      <c r="IL20" s="175"/>
      <c r="IM20" s="175"/>
      <c r="IN20" s="175"/>
      <c r="IO20" s="175"/>
      <c r="IP20" s="117"/>
      <c r="IQ20" s="175"/>
      <c r="IR20" s="175"/>
      <c r="IS20" s="175"/>
      <c r="IT20" s="175"/>
      <c r="IU20" s="175"/>
      <c r="IV20" s="117"/>
    </row>
    <row r="21" spans="1:256" s="121" customFormat="1" ht="17.100000000000001" customHeight="1">
      <c r="A21" s="111"/>
      <c r="B21" s="114"/>
      <c r="C21" s="114"/>
      <c r="D21" s="126"/>
      <c r="E21" s="123"/>
      <c r="F21" s="123"/>
      <c r="G21" s="123"/>
      <c r="H21" s="123"/>
      <c r="I21" s="123"/>
      <c r="J21" s="117"/>
      <c r="K21" s="175"/>
      <c r="L21" s="175"/>
      <c r="M21" s="175"/>
      <c r="N21" s="175"/>
      <c r="O21" s="175"/>
      <c r="P21" s="117"/>
      <c r="Q21" s="175"/>
      <c r="R21" s="175"/>
      <c r="S21" s="175"/>
      <c r="T21" s="175"/>
      <c r="U21" s="175"/>
      <c r="V21" s="117"/>
      <c r="W21" s="175"/>
      <c r="X21" s="175"/>
      <c r="Y21" s="175"/>
      <c r="Z21" s="175"/>
      <c r="AA21" s="175"/>
      <c r="AB21" s="117"/>
      <c r="AC21" s="175"/>
      <c r="AD21" s="175"/>
      <c r="AE21" s="175"/>
      <c r="AF21" s="175"/>
      <c r="AG21" s="175"/>
      <c r="AH21" s="117"/>
      <c r="AI21" s="175"/>
      <c r="AJ21" s="175"/>
      <c r="AK21" s="175"/>
      <c r="AL21" s="175"/>
      <c r="AM21" s="175"/>
      <c r="AN21" s="117"/>
      <c r="AO21" s="175"/>
      <c r="AP21" s="175"/>
      <c r="AQ21" s="175"/>
      <c r="AR21" s="175"/>
      <c r="AS21" s="175"/>
      <c r="AT21" s="117"/>
      <c r="AU21" s="175"/>
      <c r="AV21" s="175"/>
      <c r="AW21" s="175"/>
      <c r="AX21" s="175"/>
      <c r="AY21" s="175"/>
      <c r="AZ21" s="117"/>
      <c r="BA21" s="175"/>
      <c r="BB21" s="175"/>
      <c r="BC21" s="175"/>
      <c r="BD21" s="175"/>
      <c r="BE21" s="175"/>
      <c r="BF21" s="117"/>
      <c r="BG21" s="175"/>
      <c r="BH21" s="175"/>
      <c r="BI21" s="175"/>
      <c r="BJ21" s="175"/>
      <c r="BK21" s="175"/>
      <c r="BL21" s="117"/>
      <c r="BM21" s="175"/>
      <c r="BN21" s="175"/>
      <c r="BO21" s="175"/>
      <c r="BP21" s="175"/>
      <c r="BQ21" s="175"/>
      <c r="BR21" s="117"/>
      <c r="BS21" s="175"/>
      <c r="BT21" s="175"/>
      <c r="BU21" s="175"/>
      <c r="BV21" s="175"/>
      <c r="BW21" s="175"/>
      <c r="BX21" s="117"/>
      <c r="BY21" s="175"/>
      <c r="BZ21" s="175"/>
      <c r="CA21" s="175"/>
      <c r="CB21" s="175"/>
      <c r="CC21" s="175"/>
      <c r="CD21" s="117"/>
      <c r="CE21" s="175"/>
      <c r="CF21" s="175"/>
      <c r="CG21" s="175"/>
      <c r="CH21" s="175"/>
      <c r="CI21" s="175"/>
      <c r="CJ21" s="117"/>
      <c r="CK21" s="175"/>
      <c r="CL21" s="175"/>
      <c r="CM21" s="175"/>
      <c r="CN21" s="175"/>
      <c r="CO21" s="175"/>
      <c r="CP21" s="117"/>
      <c r="CQ21" s="175"/>
      <c r="CR21" s="175"/>
      <c r="CS21" s="175"/>
      <c r="CT21" s="175"/>
      <c r="CU21" s="175"/>
      <c r="CV21" s="117"/>
      <c r="CW21" s="175"/>
      <c r="CX21" s="175"/>
      <c r="CY21" s="175"/>
      <c r="CZ21" s="175"/>
      <c r="DA21" s="175"/>
      <c r="DB21" s="117"/>
      <c r="DC21" s="175"/>
      <c r="DD21" s="175"/>
      <c r="DE21" s="175"/>
      <c r="DF21" s="175"/>
      <c r="DG21" s="175"/>
      <c r="DH21" s="117"/>
      <c r="DI21" s="175"/>
      <c r="DJ21" s="175"/>
      <c r="DK21" s="175"/>
      <c r="DL21" s="175"/>
      <c r="DM21" s="175"/>
      <c r="DN21" s="117"/>
      <c r="DO21" s="175"/>
      <c r="DP21" s="175"/>
      <c r="DQ21" s="175"/>
      <c r="DR21" s="175"/>
      <c r="DS21" s="175"/>
      <c r="DT21" s="117"/>
      <c r="DU21" s="175"/>
      <c r="DV21" s="175"/>
      <c r="DW21" s="175"/>
      <c r="DX21" s="175"/>
      <c r="DY21" s="175"/>
      <c r="DZ21" s="117"/>
      <c r="EA21" s="175"/>
      <c r="EB21" s="175"/>
      <c r="EC21" s="175"/>
      <c r="ED21" s="175"/>
      <c r="EE21" s="175"/>
      <c r="EF21" s="117"/>
      <c r="EG21" s="175"/>
      <c r="EH21" s="175"/>
      <c r="EI21" s="175"/>
      <c r="EJ21" s="175"/>
      <c r="EK21" s="175"/>
      <c r="EL21" s="117"/>
      <c r="EM21" s="175"/>
      <c r="EN21" s="175"/>
      <c r="EO21" s="175"/>
      <c r="EP21" s="175"/>
      <c r="EQ21" s="175"/>
      <c r="ER21" s="117"/>
      <c r="ES21" s="175"/>
      <c r="ET21" s="175"/>
      <c r="EU21" s="175"/>
      <c r="EV21" s="175"/>
      <c r="EW21" s="175"/>
      <c r="EX21" s="117"/>
      <c r="EY21" s="175"/>
      <c r="EZ21" s="175"/>
      <c r="FA21" s="175"/>
      <c r="FB21" s="175"/>
      <c r="FC21" s="175"/>
      <c r="FD21" s="117"/>
      <c r="FE21" s="175"/>
      <c r="FF21" s="175"/>
      <c r="FG21" s="175"/>
      <c r="FH21" s="175"/>
      <c r="FI21" s="175"/>
      <c r="FJ21" s="117"/>
      <c r="FK21" s="175"/>
      <c r="FL21" s="175"/>
      <c r="FM21" s="175"/>
      <c r="FN21" s="175"/>
      <c r="FO21" s="175"/>
      <c r="FP21" s="117"/>
      <c r="FQ21" s="175"/>
      <c r="FR21" s="175"/>
      <c r="FS21" s="175"/>
      <c r="FT21" s="175"/>
      <c r="FU21" s="175"/>
      <c r="FV21" s="117"/>
      <c r="FW21" s="175"/>
      <c r="FX21" s="175"/>
      <c r="FY21" s="175"/>
      <c r="FZ21" s="175"/>
      <c r="GA21" s="175"/>
      <c r="GB21" s="117"/>
      <c r="GC21" s="175"/>
      <c r="GD21" s="175"/>
      <c r="GE21" s="175"/>
      <c r="GF21" s="175"/>
      <c r="GG21" s="175"/>
      <c r="GH21" s="117"/>
      <c r="GI21" s="175"/>
      <c r="GJ21" s="175"/>
      <c r="GK21" s="175"/>
      <c r="GL21" s="175"/>
      <c r="GM21" s="175"/>
      <c r="GN21" s="117"/>
      <c r="GO21" s="175"/>
      <c r="GP21" s="175"/>
      <c r="GQ21" s="175"/>
      <c r="GR21" s="175"/>
      <c r="GS21" s="175"/>
      <c r="GT21" s="117"/>
      <c r="GU21" s="175"/>
      <c r="GV21" s="175"/>
      <c r="GW21" s="175"/>
      <c r="GX21" s="175"/>
      <c r="GY21" s="175"/>
      <c r="GZ21" s="117"/>
      <c r="HA21" s="175"/>
      <c r="HB21" s="175"/>
      <c r="HC21" s="175"/>
      <c r="HD21" s="175"/>
      <c r="HE21" s="175"/>
      <c r="HF21" s="117"/>
      <c r="HG21" s="175"/>
      <c r="HH21" s="175"/>
      <c r="HI21" s="175"/>
      <c r="HJ21" s="175"/>
      <c r="HK21" s="175"/>
      <c r="HL21" s="117"/>
      <c r="HM21" s="175"/>
      <c r="HN21" s="175"/>
      <c r="HO21" s="175"/>
      <c r="HP21" s="175"/>
      <c r="HQ21" s="175"/>
      <c r="HR21" s="117"/>
      <c r="HS21" s="175"/>
      <c r="HT21" s="175"/>
      <c r="HU21" s="175"/>
      <c r="HV21" s="175"/>
      <c r="HW21" s="175"/>
      <c r="HX21" s="117"/>
      <c r="HY21" s="175"/>
      <c r="HZ21" s="175"/>
      <c r="IA21" s="175"/>
      <c r="IB21" s="175"/>
      <c r="IC21" s="175"/>
      <c r="ID21" s="117"/>
      <c r="IE21" s="175"/>
      <c r="IF21" s="175"/>
      <c r="IG21" s="175"/>
      <c r="IH21" s="175"/>
      <c r="II21" s="175"/>
      <c r="IJ21" s="117"/>
      <c r="IK21" s="175"/>
      <c r="IL21" s="175"/>
      <c r="IM21" s="175"/>
      <c r="IN21" s="175"/>
      <c r="IO21" s="175"/>
      <c r="IP21" s="117"/>
      <c r="IQ21" s="175"/>
      <c r="IR21" s="175"/>
      <c r="IS21" s="175"/>
      <c r="IT21" s="175"/>
      <c r="IU21" s="175"/>
      <c r="IV21" s="117"/>
    </row>
    <row r="22" spans="1:256" s="121" customFormat="1" ht="17.100000000000001" customHeight="1">
      <c r="A22" s="111"/>
      <c r="B22" s="114"/>
      <c r="C22" s="114"/>
      <c r="D22" s="126"/>
      <c r="E22" s="123"/>
      <c r="F22" s="123"/>
      <c r="G22" s="123"/>
      <c r="H22" s="123"/>
      <c r="I22" s="123"/>
      <c r="J22" s="117"/>
      <c r="K22" s="175"/>
      <c r="L22" s="175"/>
      <c r="M22" s="175"/>
      <c r="N22" s="175"/>
      <c r="O22" s="175"/>
      <c r="P22" s="117"/>
      <c r="Q22" s="175"/>
      <c r="R22" s="175"/>
      <c r="S22" s="175"/>
      <c r="T22" s="175"/>
      <c r="U22" s="175"/>
      <c r="V22" s="117"/>
      <c r="W22" s="175"/>
      <c r="X22" s="175"/>
      <c r="Y22" s="175"/>
      <c r="Z22" s="175"/>
      <c r="AA22" s="175"/>
      <c r="AB22" s="117"/>
      <c r="AC22" s="175"/>
      <c r="AD22" s="175"/>
      <c r="AE22" s="175"/>
      <c r="AF22" s="175"/>
      <c r="AG22" s="175"/>
      <c r="AH22" s="117"/>
      <c r="AI22" s="175"/>
      <c r="AJ22" s="175"/>
      <c r="AK22" s="175"/>
      <c r="AL22" s="175"/>
      <c r="AM22" s="175"/>
      <c r="AN22" s="117"/>
      <c r="AO22" s="175"/>
      <c r="AP22" s="175"/>
      <c r="AQ22" s="175"/>
      <c r="AR22" s="175"/>
      <c r="AS22" s="175"/>
      <c r="AT22" s="117"/>
      <c r="AU22" s="175"/>
      <c r="AV22" s="175"/>
      <c r="AW22" s="175"/>
      <c r="AX22" s="175"/>
      <c r="AY22" s="175"/>
      <c r="AZ22" s="117"/>
      <c r="BA22" s="175"/>
      <c r="BB22" s="175"/>
      <c r="BC22" s="175"/>
      <c r="BD22" s="175"/>
      <c r="BE22" s="175"/>
      <c r="BF22" s="117"/>
      <c r="BG22" s="175"/>
      <c r="BH22" s="175"/>
      <c r="BI22" s="175"/>
      <c r="BJ22" s="175"/>
      <c r="BK22" s="175"/>
      <c r="BL22" s="117"/>
      <c r="BM22" s="175"/>
      <c r="BN22" s="175"/>
      <c r="BO22" s="175"/>
      <c r="BP22" s="175"/>
      <c r="BQ22" s="175"/>
      <c r="BR22" s="117"/>
      <c r="BS22" s="175"/>
      <c r="BT22" s="175"/>
      <c r="BU22" s="175"/>
      <c r="BV22" s="175"/>
      <c r="BW22" s="175"/>
      <c r="BX22" s="117"/>
      <c r="BY22" s="175"/>
      <c r="BZ22" s="175"/>
      <c r="CA22" s="175"/>
      <c r="CB22" s="175"/>
      <c r="CC22" s="175"/>
      <c r="CD22" s="117"/>
      <c r="CE22" s="175"/>
      <c r="CF22" s="175"/>
      <c r="CG22" s="175"/>
      <c r="CH22" s="175"/>
      <c r="CI22" s="175"/>
      <c r="CJ22" s="117"/>
      <c r="CK22" s="175"/>
      <c r="CL22" s="175"/>
      <c r="CM22" s="175"/>
      <c r="CN22" s="175"/>
      <c r="CO22" s="175"/>
      <c r="CP22" s="117"/>
      <c r="CQ22" s="175"/>
      <c r="CR22" s="175"/>
      <c r="CS22" s="175"/>
      <c r="CT22" s="175"/>
      <c r="CU22" s="175"/>
      <c r="CV22" s="117"/>
      <c r="CW22" s="175"/>
      <c r="CX22" s="175"/>
      <c r="CY22" s="175"/>
      <c r="CZ22" s="175"/>
      <c r="DA22" s="175"/>
      <c r="DB22" s="117"/>
      <c r="DC22" s="175"/>
      <c r="DD22" s="175"/>
      <c r="DE22" s="175"/>
      <c r="DF22" s="175"/>
      <c r="DG22" s="175"/>
      <c r="DH22" s="117"/>
      <c r="DI22" s="175"/>
      <c r="DJ22" s="175"/>
      <c r="DK22" s="175"/>
      <c r="DL22" s="175"/>
      <c r="DM22" s="175"/>
      <c r="DN22" s="117"/>
      <c r="DO22" s="175"/>
      <c r="DP22" s="175"/>
      <c r="DQ22" s="175"/>
      <c r="DR22" s="175"/>
      <c r="DS22" s="175"/>
      <c r="DT22" s="117"/>
      <c r="DU22" s="175"/>
      <c r="DV22" s="175"/>
      <c r="DW22" s="175"/>
      <c r="DX22" s="175"/>
      <c r="DY22" s="175"/>
      <c r="DZ22" s="117"/>
      <c r="EA22" s="175"/>
      <c r="EB22" s="175"/>
      <c r="EC22" s="175"/>
      <c r="ED22" s="175"/>
      <c r="EE22" s="175"/>
      <c r="EF22" s="117"/>
      <c r="EG22" s="175"/>
      <c r="EH22" s="175"/>
      <c r="EI22" s="175"/>
      <c r="EJ22" s="175"/>
      <c r="EK22" s="175"/>
      <c r="EL22" s="117"/>
      <c r="EM22" s="175"/>
      <c r="EN22" s="175"/>
      <c r="EO22" s="175"/>
      <c r="EP22" s="175"/>
      <c r="EQ22" s="175"/>
      <c r="ER22" s="117"/>
      <c r="ES22" s="175"/>
      <c r="ET22" s="175"/>
      <c r="EU22" s="175"/>
      <c r="EV22" s="175"/>
      <c r="EW22" s="175"/>
      <c r="EX22" s="117"/>
      <c r="EY22" s="175"/>
      <c r="EZ22" s="175"/>
      <c r="FA22" s="175"/>
      <c r="FB22" s="175"/>
      <c r="FC22" s="175"/>
      <c r="FD22" s="117"/>
      <c r="FE22" s="175"/>
      <c r="FF22" s="175"/>
      <c r="FG22" s="175"/>
      <c r="FH22" s="175"/>
      <c r="FI22" s="175"/>
      <c r="FJ22" s="117"/>
      <c r="FK22" s="175"/>
      <c r="FL22" s="175"/>
      <c r="FM22" s="175"/>
      <c r="FN22" s="175"/>
      <c r="FO22" s="175"/>
      <c r="FP22" s="117"/>
      <c r="FQ22" s="175"/>
      <c r="FR22" s="175"/>
      <c r="FS22" s="175"/>
      <c r="FT22" s="175"/>
      <c r="FU22" s="175"/>
      <c r="FV22" s="117"/>
      <c r="FW22" s="175"/>
      <c r="FX22" s="175"/>
      <c r="FY22" s="175"/>
      <c r="FZ22" s="175"/>
      <c r="GA22" s="175"/>
      <c r="GB22" s="117"/>
      <c r="GC22" s="175"/>
      <c r="GD22" s="175"/>
      <c r="GE22" s="175"/>
      <c r="GF22" s="175"/>
      <c r="GG22" s="175"/>
      <c r="GH22" s="117"/>
      <c r="GI22" s="175"/>
      <c r="GJ22" s="175"/>
      <c r="GK22" s="175"/>
      <c r="GL22" s="175"/>
      <c r="GM22" s="175"/>
      <c r="GN22" s="117"/>
      <c r="GO22" s="175"/>
      <c r="GP22" s="175"/>
      <c r="GQ22" s="175"/>
      <c r="GR22" s="175"/>
      <c r="GS22" s="175"/>
      <c r="GT22" s="117"/>
      <c r="GU22" s="175"/>
      <c r="GV22" s="175"/>
      <c r="GW22" s="175"/>
      <c r="GX22" s="175"/>
      <c r="GY22" s="175"/>
      <c r="GZ22" s="117"/>
      <c r="HA22" s="175"/>
      <c r="HB22" s="175"/>
      <c r="HC22" s="175"/>
      <c r="HD22" s="175"/>
      <c r="HE22" s="175"/>
      <c r="HF22" s="117"/>
      <c r="HG22" s="175"/>
      <c r="HH22" s="175"/>
      <c r="HI22" s="175"/>
      <c r="HJ22" s="175"/>
      <c r="HK22" s="175"/>
      <c r="HL22" s="117"/>
      <c r="HM22" s="175"/>
      <c r="HN22" s="175"/>
      <c r="HO22" s="175"/>
      <c r="HP22" s="175"/>
      <c r="HQ22" s="175"/>
      <c r="HR22" s="117"/>
      <c r="HS22" s="175"/>
      <c r="HT22" s="175"/>
      <c r="HU22" s="175"/>
      <c r="HV22" s="175"/>
      <c r="HW22" s="175"/>
      <c r="HX22" s="117"/>
      <c r="HY22" s="175"/>
      <c r="HZ22" s="175"/>
      <c r="IA22" s="175"/>
      <c r="IB22" s="175"/>
      <c r="IC22" s="175"/>
      <c r="ID22" s="117"/>
      <c r="IE22" s="175"/>
      <c r="IF22" s="175"/>
      <c r="IG22" s="175"/>
      <c r="IH22" s="175"/>
      <c r="II22" s="175"/>
      <c r="IJ22" s="117"/>
      <c r="IK22" s="175"/>
      <c r="IL22" s="175"/>
      <c r="IM22" s="175"/>
      <c r="IN22" s="175"/>
      <c r="IO22" s="175"/>
      <c r="IP22" s="117"/>
      <c r="IQ22" s="175"/>
      <c r="IR22" s="175"/>
      <c r="IS22" s="175"/>
      <c r="IT22" s="175"/>
      <c r="IU22" s="175"/>
      <c r="IV22" s="117"/>
    </row>
    <row r="23" spans="1:256" s="121" customFormat="1" ht="17.100000000000001" customHeight="1">
      <c r="A23" s="111"/>
      <c r="B23" s="114"/>
      <c r="C23" s="114"/>
      <c r="D23" s="126"/>
      <c r="E23" s="123"/>
      <c r="F23" s="123"/>
      <c r="G23" s="123"/>
      <c r="H23" s="123"/>
      <c r="I23" s="123"/>
      <c r="J23" s="117"/>
      <c r="K23" s="175"/>
      <c r="L23" s="175"/>
      <c r="M23" s="175"/>
      <c r="N23" s="175"/>
      <c r="O23" s="175"/>
      <c r="P23" s="117"/>
      <c r="Q23" s="175"/>
      <c r="R23" s="175"/>
      <c r="S23" s="175"/>
      <c r="T23" s="175"/>
      <c r="U23" s="175"/>
      <c r="V23" s="117"/>
      <c r="W23" s="175"/>
      <c r="X23" s="175"/>
      <c r="Y23" s="175"/>
      <c r="Z23" s="175"/>
      <c r="AA23" s="175"/>
      <c r="AB23" s="117"/>
      <c r="AC23" s="175"/>
      <c r="AD23" s="175"/>
      <c r="AE23" s="175"/>
      <c r="AF23" s="175"/>
      <c r="AG23" s="175"/>
      <c r="AH23" s="117"/>
      <c r="AI23" s="175"/>
      <c r="AJ23" s="175"/>
      <c r="AK23" s="175"/>
      <c r="AL23" s="175"/>
      <c r="AM23" s="175"/>
      <c r="AN23" s="117"/>
      <c r="AO23" s="175"/>
      <c r="AP23" s="175"/>
      <c r="AQ23" s="175"/>
      <c r="AR23" s="175"/>
      <c r="AS23" s="175"/>
      <c r="AT23" s="117"/>
      <c r="AU23" s="175"/>
      <c r="AV23" s="175"/>
      <c r="AW23" s="175"/>
      <c r="AX23" s="175"/>
      <c r="AY23" s="175"/>
      <c r="AZ23" s="117"/>
      <c r="BA23" s="175"/>
      <c r="BB23" s="175"/>
      <c r="BC23" s="175"/>
      <c r="BD23" s="175"/>
      <c r="BE23" s="175"/>
      <c r="BF23" s="117"/>
      <c r="BG23" s="175"/>
      <c r="BH23" s="175"/>
      <c r="BI23" s="175"/>
      <c r="BJ23" s="175"/>
      <c r="BK23" s="175"/>
      <c r="BL23" s="117"/>
      <c r="BM23" s="175"/>
      <c r="BN23" s="175"/>
      <c r="BO23" s="175"/>
      <c r="BP23" s="175"/>
      <c r="BQ23" s="175"/>
      <c r="BR23" s="117"/>
      <c r="BS23" s="175"/>
      <c r="BT23" s="175"/>
      <c r="BU23" s="175"/>
      <c r="BV23" s="175"/>
      <c r="BW23" s="175"/>
      <c r="BX23" s="117"/>
      <c r="BY23" s="175"/>
      <c r="BZ23" s="175"/>
      <c r="CA23" s="175"/>
      <c r="CB23" s="175"/>
      <c r="CC23" s="175"/>
      <c r="CD23" s="117"/>
      <c r="CE23" s="175"/>
      <c r="CF23" s="175"/>
      <c r="CG23" s="175"/>
      <c r="CH23" s="175"/>
      <c r="CI23" s="175"/>
      <c r="CJ23" s="117"/>
      <c r="CK23" s="175"/>
      <c r="CL23" s="175"/>
      <c r="CM23" s="175"/>
      <c r="CN23" s="175"/>
      <c r="CO23" s="175"/>
      <c r="CP23" s="117"/>
      <c r="CQ23" s="175"/>
      <c r="CR23" s="175"/>
      <c r="CS23" s="175"/>
      <c r="CT23" s="175"/>
      <c r="CU23" s="175"/>
      <c r="CV23" s="117"/>
      <c r="CW23" s="175"/>
      <c r="CX23" s="175"/>
      <c r="CY23" s="175"/>
      <c r="CZ23" s="175"/>
      <c r="DA23" s="175"/>
      <c r="DB23" s="117"/>
      <c r="DC23" s="175"/>
      <c r="DD23" s="175"/>
      <c r="DE23" s="175"/>
      <c r="DF23" s="175"/>
      <c r="DG23" s="175"/>
      <c r="DH23" s="117"/>
      <c r="DI23" s="175"/>
      <c r="DJ23" s="175"/>
      <c r="DK23" s="175"/>
      <c r="DL23" s="175"/>
      <c r="DM23" s="175"/>
      <c r="DN23" s="117"/>
      <c r="DO23" s="175"/>
      <c r="DP23" s="175"/>
      <c r="DQ23" s="175"/>
      <c r="DR23" s="175"/>
      <c r="DS23" s="175"/>
      <c r="DT23" s="117"/>
      <c r="DU23" s="175"/>
      <c r="DV23" s="175"/>
      <c r="DW23" s="175"/>
      <c r="DX23" s="175"/>
      <c r="DY23" s="175"/>
      <c r="DZ23" s="117"/>
      <c r="EA23" s="175"/>
      <c r="EB23" s="175"/>
      <c r="EC23" s="175"/>
      <c r="ED23" s="175"/>
      <c r="EE23" s="175"/>
      <c r="EF23" s="117"/>
      <c r="EG23" s="175"/>
      <c r="EH23" s="175"/>
      <c r="EI23" s="175"/>
      <c r="EJ23" s="175"/>
      <c r="EK23" s="175"/>
      <c r="EL23" s="117"/>
      <c r="EM23" s="175"/>
      <c r="EN23" s="175"/>
      <c r="EO23" s="175"/>
      <c r="EP23" s="175"/>
      <c r="EQ23" s="175"/>
      <c r="ER23" s="117"/>
      <c r="ES23" s="175"/>
      <c r="ET23" s="175"/>
      <c r="EU23" s="175"/>
      <c r="EV23" s="175"/>
      <c r="EW23" s="175"/>
      <c r="EX23" s="117"/>
      <c r="EY23" s="175"/>
      <c r="EZ23" s="175"/>
      <c r="FA23" s="175"/>
      <c r="FB23" s="175"/>
      <c r="FC23" s="175"/>
      <c r="FD23" s="117"/>
      <c r="FE23" s="175"/>
      <c r="FF23" s="175"/>
      <c r="FG23" s="175"/>
      <c r="FH23" s="175"/>
      <c r="FI23" s="175"/>
      <c r="FJ23" s="117"/>
      <c r="FK23" s="175"/>
      <c r="FL23" s="175"/>
      <c r="FM23" s="175"/>
      <c r="FN23" s="175"/>
      <c r="FO23" s="175"/>
      <c r="FP23" s="117"/>
      <c r="FQ23" s="175"/>
      <c r="FR23" s="175"/>
      <c r="FS23" s="175"/>
      <c r="FT23" s="175"/>
      <c r="FU23" s="175"/>
      <c r="FV23" s="117"/>
      <c r="FW23" s="175"/>
      <c r="FX23" s="175"/>
      <c r="FY23" s="175"/>
      <c r="FZ23" s="175"/>
      <c r="GA23" s="175"/>
      <c r="GB23" s="117"/>
      <c r="GC23" s="175"/>
      <c r="GD23" s="175"/>
      <c r="GE23" s="175"/>
      <c r="GF23" s="175"/>
      <c r="GG23" s="175"/>
      <c r="GH23" s="117"/>
      <c r="GI23" s="175"/>
      <c r="GJ23" s="175"/>
      <c r="GK23" s="175"/>
      <c r="GL23" s="175"/>
      <c r="GM23" s="175"/>
      <c r="GN23" s="117"/>
      <c r="GO23" s="175"/>
      <c r="GP23" s="175"/>
      <c r="GQ23" s="175"/>
      <c r="GR23" s="175"/>
      <c r="GS23" s="175"/>
      <c r="GT23" s="117"/>
      <c r="GU23" s="175"/>
      <c r="GV23" s="175"/>
      <c r="GW23" s="175"/>
      <c r="GX23" s="175"/>
      <c r="GY23" s="175"/>
      <c r="GZ23" s="117"/>
      <c r="HA23" s="175"/>
      <c r="HB23" s="175"/>
      <c r="HC23" s="175"/>
      <c r="HD23" s="175"/>
      <c r="HE23" s="175"/>
      <c r="HF23" s="117"/>
      <c r="HG23" s="175"/>
      <c r="HH23" s="175"/>
      <c r="HI23" s="175"/>
      <c r="HJ23" s="175"/>
      <c r="HK23" s="175"/>
      <c r="HL23" s="117"/>
      <c r="HM23" s="175"/>
      <c r="HN23" s="175"/>
      <c r="HO23" s="175"/>
      <c r="HP23" s="175"/>
      <c r="HQ23" s="175"/>
      <c r="HR23" s="117"/>
      <c r="HS23" s="175"/>
      <c r="HT23" s="175"/>
      <c r="HU23" s="175"/>
      <c r="HV23" s="175"/>
      <c r="HW23" s="175"/>
      <c r="HX23" s="117"/>
      <c r="HY23" s="175"/>
      <c r="HZ23" s="175"/>
      <c r="IA23" s="175"/>
      <c r="IB23" s="175"/>
      <c r="IC23" s="175"/>
      <c r="ID23" s="117"/>
      <c r="IE23" s="175"/>
      <c r="IF23" s="175"/>
      <c r="IG23" s="175"/>
      <c r="IH23" s="175"/>
      <c r="II23" s="175"/>
      <c r="IJ23" s="117"/>
      <c r="IK23" s="175"/>
      <c r="IL23" s="175"/>
      <c r="IM23" s="175"/>
      <c r="IN23" s="175"/>
      <c r="IO23" s="175"/>
      <c r="IP23" s="117"/>
      <c r="IQ23" s="175"/>
      <c r="IR23" s="175"/>
      <c r="IS23" s="175"/>
      <c r="IT23" s="175"/>
      <c r="IU23" s="175"/>
      <c r="IV23" s="117"/>
    </row>
    <row r="24" spans="1:256" s="121" customFormat="1" ht="17.100000000000001" customHeight="1">
      <c r="A24" s="127"/>
      <c r="B24" s="128"/>
      <c r="C24" s="128"/>
      <c r="D24" s="129"/>
      <c r="E24" s="123"/>
      <c r="F24" s="123"/>
      <c r="G24" s="123"/>
      <c r="H24" s="123"/>
      <c r="I24" s="123"/>
      <c r="J24" s="117"/>
      <c r="K24" s="175"/>
      <c r="L24" s="175"/>
      <c r="M24" s="175"/>
      <c r="N24" s="175"/>
      <c r="O24" s="175"/>
      <c r="P24" s="117"/>
      <c r="Q24" s="175"/>
      <c r="R24" s="175"/>
      <c r="S24" s="175"/>
      <c r="T24" s="175"/>
      <c r="U24" s="175"/>
      <c r="V24" s="117"/>
      <c r="W24" s="175"/>
      <c r="X24" s="175"/>
      <c r="Y24" s="175"/>
      <c r="Z24" s="175"/>
      <c r="AA24" s="175"/>
      <c r="AB24" s="117"/>
      <c r="AC24" s="175"/>
      <c r="AD24" s="175"/>
      <c r="AE24" s="175"/>
      <c r="AF24" s="175"/>
      <c r="AG24" s="175"/>
      <c r="AH24" s="117"/>
      <c r="AI24" s="175"/>
      <c r="AJ24" s="175"/>
      <c r="AK24" s="175"/>
      <c r="AL24" s="175"/>
      <c r="AM24" s="175"/>
      <c r="AN24" s="117"/>
      <c r="AO24" s="175"/>
      <c r="AP24" s="175"/>
      <c r="AQ24" s="175"/>
      <c r="AR24" s="175"/>
      <c r="AS24" s="175"/>
      <c r="AT24" s="117"/>
      <c r="AU24" s="175"/>
      <c r="AV24" s="175"/>
      <c r="AW24" s="175"/>
      <c r="AX24" s="175"/>
      <c r="AY24" s="175"/>
      <c r="AZ24" s="117"/>
      <c r="BA24" s="175"/>
      <c r="BB24" s="175"/>
      <c r="BC24" s="175"/>
      <c r="BD24" s="175"/>
      <c r="BE24" s="175"/>
      <c r="BF24" s="117"/>
      <c r="BG24" s="175"/>
      <c r="BH24" s="175"/>
      <c r="BI24" s="175"/>
      <c r="BJ24" s="175"/>
      <c r="BK24" s="175"/>
      <c r="BL24" s="117"/>
      <c r="BM24" s="175"/>
      <c r="BN24" s="175"/>
      <c r="BO24" s="175"/>
      <c r="BP24" s="175"/>
      <c r="BQ24" s="175"/>
      <c r="BR24" s="117"/>
      <c r="BS24" s="175"/>
      <c r="BT24" s="175"/>
      <c r="BU24" s="175"/>
      <c r="BV24" s="175"/>
      <c r="BW24" s="175"/>
      <c r="BX24" s="117"/>
      <c r="BY24" s="175"/>
      <c r="BZ24" s="175"/>
      <c r="CA24" s="175"/>
      <c r="CB24" s="175"/>
      <c r="CC24" s="175"/>
      <c r="CD24" s="117"/>
      <c r="CE24" s="175"/>
      <c r="CF24" s="175"/>
      <c r="CG24" s="175"/>
      <c r="CH24" s="175"/>
      <c r="CI24" s="175"/>
      <c r="CJ24" s="117"/>
      <c r="CK24" s="175"/>
      <c r="CL24" s="175"/>
      <c r="CM24" s="175"/>
      <c r="CN24" s="175"/>
      <c r="CO24" s="175"/>
      <c r="CP24" s="117"/>
      <c r="CQ24" s="175"/>
      <c r="CR24" s="175"/>
      <c r="CS24" s="175"/>
      <c r="CT24" s="175"/>
      <c r="CU24" s="175"/>
      <c r="CV24" s="117"/>
      <c r="CW24" s="175"/>
      <c r="CX24" s="175"/>
      <c r="CY24" s="175"/>
      <c r="CZ24" s="175"/>
      <c r="DA24" s="175"/>
      <c r="DB24" s="117"/>
      <c r="DC24" s="175"/>
      <c r="DD24" s="175"/>
      <c r="DE24" s="175"/>
      <c r="DF24" s="175"/>
      <c r="DG24" s="175"/>
      <c r="DH24" s="117"/>
      <c r="DI24" s="175"/>
      <c r="DJ24" s="175"/>
      <c r="DK24" s="175"/>
      <c r="DL24" s="175"/>
      <c r="DM24" s="175"/>
      <c r="DN24" s="117"/>
      <c r="DO24" s="175"/>
      <c r="DP24" s="175"/>
      <c r="DQ24" s="175"/>
      <c r="DR24" s="175"/>
      <c r="DS24" s="175"/>
      <c r="DT24" s="117"/>
      <c r="DU24" s="175"/>
      <c r="DV24" s="175"/>
      <c r="DW24" s="175"/>
      <c r="DX24" s="175"/>
      <c r="DY24" s="175"/>
      <c r="DZ24" s="117"/>
      <c r="EA24" s="175"/>
      <c r="EB24" s="175"/>
      <c r="EC24" s="175"/>
      <c r="ED24" s="175"/>
      <c r="EE24" s="175"/>
      <c r="EF24" s="117"/>
      <c r="EG24" s="175"/>
      <c r="EH24" s="175"/>
      <c r="EI24" s="175"/>
      <c r="EJ24" s="175"/>
      <c r="EK24" s="175"/>
      <c r="EL24" s="117"/>
      <c r="EM24" s="175"/>
      <c r="EN24" s="175"/>
      <c r="EO24" s="175"/>
      <c r="EP24" s="175"/>
      <c r="EQ24" s="175"/>
      <c r="ER24" s="117"/>
      <c r="ES24" s="175"/>
      <c r="ET24" s="175"/>
      <c r="EU24" s="175"/>
      <c r="EV24" s="175"/>
      <c r="EW24" s="175"/>
      <c r="EX24" s="117"/>
      <c r="EY24" s="175"/>
      <c r="EZ24" s="175"/>
      <c r="FA24" s="175"/>
      <c r="FB24" s="175"/>
      <c r="FC24" s="175"/>
      <c r="FD24" s="117"/>
      <c r="FE24" s="175"/>
      <c r="FF24" s="175"/>
      <c r="FG24" s="175"/>
      <c r="FH24" s="175"/>
      <c r="FI24" s="175"/>
      <c r="FJ24" s="117"/>
      <c r="FK24" s="175"/>
      <c r="FL24" s="175"/>
      <c r="FM24" s="175"/>
      <c r="FN24" s="175"/>
      <c r="FO24" s="175"/>
      <c r="FP24" s="117"/>
      <c r="FQ24" s="175"/>
      <c r="FR24" s="175"/>
      <c r="FS24" s="175"/>
      <c r="FT24" s="175"/>
      <c r="FU24" s="175"/>
      <c r="FV24" s="117"/>
      <c r="FW24" s="175"/>
      <c r="FX24" s="175"/>
      <c r="FY24" s="175"/>
      <c r="FZ24" s="175"/>
      <c r="GA24" s="175"/>
      <c r="GB24" s="117"/>
      <c r="GC24" s="175"/>
      <c r="GD24" s="175"/>
      <c r="GE24" s="175"/>
      <c r="GF24" s="175"/>
      <c r="GG24" s="175"/>
      <c r="GH24" s="117"/>
      <c r="GI24" s="175"/>
      <c r="GJ24" s="175"/>
      <c r="GK24" s="175"/>
      <c r="GL24" s="175"/>
      <c r="GM24" s="175"/>
      <c r="GN24" s="117"/>
      <c r="GO24" s="175"/>
      <c r="GP24" s="175"/>
      <c r="GQ24" s="175"/>
      <c r="GR24" s="175"/>
      <c r="GS24" s="175"/>
      <c r="GT24" s="117"/>
      <c r="GU24" s="175"/>
      <c r="GV24" s="175"/>
      <c r="GW24" s="175"/>
      <c r="GX24" s="175"/>
      <c r="GY24" s="175"/>
      <c r="GZ24" s="117"/>
      <c r="HA24" s="175"/>
      <c r="HB24" s="175"/>
      <c r="HC24" s="175"/>
      <c r="HD24" s="175"/>
      <c r="HE24" s="175"/>
      <c r="HF24" s="117"/>
      <c r="HG24" s="175"/>
      <c r="HH24" s="175"/>
      <c r="HI24" s="175"/>
      <c r="HJ24" s="175"/>
      <c r="HK24" s="175"/>
      <c r="HL24" s="117"/>
      <c r="HM24" s="175"/>
      <c r="HN24" s="175"/>
      <c r="HO24" s="175"/>
      <c r="HP24" s="175"/>
      <c r="HQ24" s="175"/>
      <c r="HR24" s="117"/>
      <c r="HS24" s="175"/>
      <c r="HT24" s="175"/>
      <c r="HU24" s="175"/>
      <c r="HV24" s="175"/>
      <c r="HW24" s="175"/>
      <c r="HX24" s="117"/>
      <c r="HY24" s="175"/>
      <c r="HZ24" s="175"/>
      <c r="IA24" s="175"/>
      <c r="IB24" s="175"/>
      <c r="IC24" s="175"/>
      <c r="ID24" s="117"/>
      <c r="IE24" s="175"/>
      <c r="IF24" s="175"/>
      <c r="IG24" s="175"/>
      <c r="IH24" s="175"/>
      <c r="II24" s="175"/>
      <c r="IJ24" s="117"/>
      <c r="IK24" s="175"/>
      <c r="IL24" s="175"/>
      <c r="IM24" s="175"/>
      <c r="IN24" s="175"/>
      <c r="IO24" s="175"/>
      <c r="IP24" s="117"/>
      <c r="IQ24" s="175"/>
      <c r="IR24" s="175"/>
      <c r="IS24" s="175"/>
      <c r="IT24" s="175"/>
      <c r="IU24" s="175"/>
      <c r="IV24" s="117"/>
    </row>
  </sheetData>
  <sheetProtection sheet="1" objects="1" scenarios="1" selectLockedCells="1"/>
  <mergeCells count="986">
    <mergeCell ref="J1:O1"/>
    <mergeCell ref="AT1:AY1"/>
    <mergeCell ref="AZ1:BE1"/>
    <mergeCell ref="BF1:BK1"/>
    <mergeCell ref="P1:U1"/>
    <mergeCell ref="V1:AA1"/>
    <mergeCell ref="AB1:AG1"/>
    <mergeCell ref="AH1:AM1"/>
    <mergeCell ref="AN1:AS1"/>
    <mergeCell ref="BL1:BQ1"/>
    <mergeCell ref="BR1:BW1"/>
    <mergeCell ref="CV1:DA1"/>
    <mergeCell ref="FJ1:FO1"/>
    <mergeCell ref="FP1:FU1"/>
    <mergeCell ref="FV1:GA1"/>
    <mergeCell ref="EF1:EK1"/>
    <mergeCell ref="EL1:EQ1"/>
    <mergeCell ref="ER1:EW1"/>
    <mergeCell ref="EX1:FC1"/>
    <mergeCell ref="DB1:DG1"/>
    <mergeCell ref="DH1:DM1"/>
    <mergeCell ref="DN1:DS1"/>
    <mergeCell ref="BX1:CC1"/>
    <mergeCell ref="CD1:CI1"/>
    <mergeCell ref="CJ1:CO1"/>
    <mergeCell ref="CP1:CU1"/>
    <mergeCell ref="GH1:GM1"/>
    <mergeCell ref="IV1"/>
    <mergeCell ref="HR1:HW1"/>
    <mergeCell ref="HX1:IC1"/>
    <mergeCell ref="ID1:II1"/>
    <mergeCell ref="IJ1:IO1"/>
    <mergeCell ref="DT1:DY1"/>
    <mergeCell ref="DZ1:EE1"/>
    <mergeCell ref="FD1:FI1"/>
    <mergeCell ref="IP1:IU1"/>
    <mergeCell ref="GN1:GS1"/>
    <mergeCell ref="GT1:GY1"/>
    <mergeCell ref="GZ1:HE1"/>
    <mergeCell ref="HF1:HK1"/>
    <mergeCell ref="HL1:HQ1"/>
    <mergeCell ref="GB1:GG1"/>
    <mergeCell ref="IK2:IO2"/>
    <mergeCell ref="IQ2:IU2"/>
    <mergeCell ref="AI2:AM2"/>
    <mergeCell ref="AO2:AS2"/>
    <mergeCell ref="K2:O2"/>
    <mergeCell ref="HS2:HW2"/>
    <mergeCell ref="GO2:GS2"/>
    <mergeCell ref="GU2:GY2"/>
    <mergeCell ref="HA2:HE2"/>
    <mergeCell ref="HG2:HK2"/>
    <mergeCell ref="FQ2:FU2"/>
    <mergeCell ref="FW2:GA2"/>
    <mergeCell ref="GC2:GG2"/>
    <mergeCell ref="GI2:GM2"/>
    <mergeCell ref="HY2:IC2"/>
    <mergeCell ref="IE2:II2"/>
    <mergeCell ref="HM2:HQ2"/>
    <mergeCell ref="FE2:FI2"/>
    <mergeCell ref="DC2:DG2"/>
    <mergeCell ref="DI2:DM2"/>
    <mergeCell ref="DO2:DS2"/>
    <mergeCell ref="DU2:DY2"/>
    <mergeCell ref="EA2:EE2"/>
    <mergeCell ref="EG2:EK2"/>
    <mergeCell ref="FK2:FO2"/>
    <mergeCell ref="K3:O3"/>
    <mergeCell ref="Q2:U2"/>
    <mergeCell ref="W2:AA2"/>
    <mergeCell ref="AC2:AG2"/>
    <mergeCell ref="BS3:BW3"/>
    <mergeCell ref="Q3:U3"/>
    <mergeCell ref="W3:AA3"/>
    <mergeCell ref="AC3:AG3"/>
    <mergeCell ref="AI3:AM3"/>
    <mergeCell ref="EM2:EQ2"/>
    <mergeCell ref="ES2:EW2"/>
    <mergeCell ref="EY2:FC2"/>
    <mergeCell ref="CW2:DA2"/>
    <mergeCell ref="AU2:AY2"/>
    <mergeCell ref="BA2:BE2"/>
    <mergeCell ref="BG2:BK2"/>
    <mergeCell ref="BM2:BQ2"/>
    <mergeCell ref="BS2:BW2"/>
    <mergeCell ref="BY2:CC2"/>
    <mergeCell ref="CE2:CI2"/>
    <mergeCell ref="CK2:CO2"/>
    <mergeCell ref="CQ2:CU2"/>
    <mergeCell ref="AO3:AS3"/>
    <mergeCell ref="AU3:AY3"/>
    <mergeCell ref="BA3:BE3"/>
    <mergeCell ref="BG3:BK3"/>
    <mergeCell ref="BM3:BQ3"/>
    <mergeCell ref="EA3:EE3"/>
    <mergeCell ref="BY3:CC3"/>
    <mergeCell ref="CE3:CI3"/>
    <mergeCell ref="CK3:CO3"/>
    <mergeCell ref="CQ3:CU3"/>
    <mergeCell ref="CW3:DA3"/>
    <mergeCell ref="DC3:DG3"/>
    <mergeCell ref="DI3:DM3"/>
    <mergeCell ref="DO3:DS3"/>
    <mergeCell ref="DU3:DY3"/>
    <mergeCell ref="GI3:GM3"/>
    <mergeCell ref="EG3:EK3"/>
    <mergeCell ref="EM3:EQ3"/>
    <mergeCell ref="ES3:EW3"/>
    <mergeCell ref="EY3:FC3"/>
    <mergeCell ref="FE3:FI3"/>
    <mergeCell ref="FK3:FO3"/>
    <mergeCell ref="FQ3:FU3"/>
    <mergeCell ref="FW3:GA3"/>
    <mergeCell ref="GC3:GG3"/>
    <mergeCell ref="IQ3:IU3"/>
    <mergeCell ref="GO3:GS3"/>
    <mergeCell ref="GU3:GY3"/>
    <mergeCell ref="HA3:HE3"/>
    <mergeCell ref="HG3:HK3"/>
    <mergeCell ref="HM3:HQ3"/>
    <mergeCell ref="HS3:HW3"/>
    <mergeCell ref="HY3:IC3"/>
    <mergeCell ref="IE3:II3"/>
    <mergeCell ref="IK3:IO3"/>
    <mergeCell ref="K4:O4"/>
    <mergeCell ref="HS4:HW4"/>
    <mergeCell ref="HY4:IC4"/>
    <mergeCell ref="IE4:II4"/>
    <mergeCell ref="FK4:FO4"/>
    <mergeCell ref="FQ4:FU4"/>
    <mergeCell ref="FW4:GA4"/>
    <mergeCell ref="GC4:GG4"/>
    <mergeCell ref="GI4:GM4"/>
    <mergeCell ref="EG4:EK4"/>
    <mergeCell ref="GO4:GS4"/>
    <mergeCell ref="GU4:GY4"/>
    <mergeCell ref="HA4:HE4"/>
    <mergeCell ref="HG4:HK4"/>
    <mergeCell ref="HM4:HQ4"/>
    <mergeCell ref="Q4:U4"/>
    <mergeCell ref="W4:AA4"/>
    <mergeCell ref="AC4:AG4"/>
    <mergeCell ref="AI4:AM4"/>
    <mergeCell ref="AO4:AS4"/>
    <mergeCell ref="AU4:AY4"/>
    <mergeCell ref="BA4:BE4"/>
    <mergeCell ref="BG4:BK4"/>
    <mergeCell ref="BM4:BQ4"/>
    <mergeCell ref="BY4:CC4"/>
    <mergeCell ref="CE4:CI4"/>
    <mergeCell ref="CK4:CO4"/>
    <mergeCell ref="CQ4:CU4"/>
    <mergeCell ref="CW4:DA4"/>
    <mergeCell ref="DC4:DG4"/>
    <mergeCell ref="DI4:DM4"/>
    <mergeCell ref="DO4:DS4"/>
    <mergeCell ref="BS4:BW4"/>
    <mergeCell ref="IE5:II5"/>
    <mergeCell ref="IK5:IO5"/>
    <mergeCell ref="IQ5:IU5"/>
    <mergeCell ref="GO5:GS5"/>
    <mergeCell ref="GU5:GY5"/>
    <mergeCell ref="HA5:HE5"/>
    <mergeCell ref="HG5:HK5"/>
    <mergeCell ref="HM5:HQ5"/>
    <mergeCell ref="DU4:DY4"/>
    <mergeCell ref="ES5:EW5"/>
    <mergeCell ref="EY5:FC5"/>
    <mergeCell ref="FE5:FI5"/>
    <mergeCell ref="DU5:DY5"/>
    <mergeCell ref="EA5:EE5"/>
    <mergeCell ref="EA4:EE4"/>
    <mergeCell ref="EG5:EK5"/>
    <mergeCell ref="IQ4:IU4"/>
    <mergeCell ref="EM4:EQ4"/>
    <mergeCell ref="ES4:EW4"/>
    <mergeCell ref="EY4:FC4"/>
    <mergeCell ref="FE4:FI4"/>
    <mergeCell ref="IK4:IO4"/>
    <mergeCell ref="K5:O5"/>
    <mergeCell ref="HS5:HW5"/>
    <mergeCell ref="HY5:IC5"/>
    <mergeCell ref="FK5:FO5"/>
    <mergeCell ref="FQ5:FU5"/>
    <mergeCell ref="FW5:GA5"/>
    <mergeCell ref="GC5:GG5"/>
    <mergeCell ref="GI5:GM5"/>
    <mergeCell ref="EM5:EQ5"/>
    <mergeCell ref="DC5:DG5"/>
    <mergeCell ref="DI5:DM5"/>
    <mergeCell ref="DO5:DS5"/>
    <mergeCell ref="Q5:U5"/>
    <mergeCell ref="W5:AA5"/>
    <mergeCell ref="AC5:AG5"/>
    <mergeCell ref="AI5:AM5"/>
    <mergeCell ref="DB6:DG6"/>
    <mergeCell ref="AU5:AY5"/>
    <mergeCell ref="BA5:BE5"/>
    <mergeCell ref="BG5:BK5"/>
    <mergeCell ref="BM5:BQ5"/>
    <mergeCell ref="BS5:BW5"/>
    <mergeCell ref="AO5:AS5"/>
    <mergeCell ref="CV6:DA6"/>
    <mergeCell ref="BY5:CC5"/>
    <mergeCell ref="CE5:CI5"/>
    <mergeCell ref="CK5:CO5"/>
    <mergeCell ref="CQ5:CU5"/>
    <mergeCell ref="CW5:DA5"/>
    <mergeCell ref="BX6:CC6"/>
    <mergeCell ref="CD6:CI6"/>
    <mergeCell ref="CJ6:CO6"/>
    <mergeCell ref="CP6:CU6"/>
    <mergeCell ref="BR6:BW6"/>
    <mergeCell ref="FD6:FI6"/>
    <mergeCell ref="DH6:DM6"/>
    <mergeCell ref="DN6:DS6"/>
    <mergeCell ref="DT6:DY6"/>
    <mergeCell ref="DZ6:EE6"/>
    <mergeCell ref="EF6:EK6"/>
    <mergeCell ref="EL6:EQ6"/>
    <mergeCell ref="ER6:EW6"/>
    <mergeCell ref="EX6:FC6"/>
    <mergeCell ref="IV6"/>
    <mergeCell ref="HR6:HW6"/>
    <mergeCell ref="HX6:IC6"/>
    <mergeCell ref="ID6:II6"/>
    <mergeCell ref="IJ6:IO6"/>
    <mergeCell ref="IP6:IU6"/>
    <mergeCell ref="HL6:HQ6"/>
    <mergeCell ref="FJ6:FO6"/>
    <mergeCell ref="FP6:FU6"/>
    <mergeCell ref="FV6:GA6"/>
    <mergeCell ref="GB6:GG6"/>
    <mergeCell ref="GH6:GM6"/>
    <mergeCell ref="GN6:GS6"/>
    <mergeCell ref="GT6:GY6"/>
    <mergeCell ref="GZ6:HE6"/>
    <mergeCell ref="HF6:HK6"/>
    <mergeCell ref="P6:U6"/>
    <mergeCell ref="V6:AA6"/>
    <mergeCell ref="AB6:AG6"/>
    <mergeCell ref="AH6:AM6"/>
    <mergeCell ref="AN6:AS6"/>
    <mergeCell ref="AT6:AY6"/>
    <mergeCell ref="AZ6:BE6"/>
    <mergeCell ref="BF6:BK6"/>
    <mergeCell ref="BL6:BQ6"/>
    <mergeCell ref="IK7:IO7"/>
    <mergeCell ref="IQ7:IU7"/>
    <mergeCell ref="AI7:AM7"/>
    <mergeCell ref="AO7:AS7"/>
    <mergeCell ref="K7:O7"/>
    <mergeCell ref="HS7:HW7"/>
    <mergeCell ref="GO7:GS7"/>
    <mergeCell ref="GU7:GY7"/>
    <mergeCell ref="HA7:HE7"/>
    <mergeCell ref="HG7:HK7"/>
    <mergeCell ref="FQ7:FU7"/>
    <mergeCell ref="FW7:GA7"/>
    <mergeCell ref="GC7:GG7"/>
    <mergeCell ref="GI7:GM7"/>
    <mergeCell ref="HY7:IC7"/>
    <mergeCell ref="IE7:II7"/>
    <mergeCell ref="HM7:HQ7"/>
    <mergeCell ref="FE7:FI7"/>
    <mergeCell ref="DC7:DG7"/>
    <mergeCell ref="DI7:DM7"/>
    <mergeCell ref="DO7:DS7"/>
    <mergeCell ref="DU7:DY7"/>
    <mergeCell ref="EA7:EE7"/>
    <mergeCell ref="EG7:EK7"/>
    <mergeCell ref="FK7:FO7"/>
    <mergeCell ref="K8:O8"/>
    <mergeCell ref="Q7:U7"/>
    <mergeCell ref="W7:AA7"/>
    <mergeCell ref="AC7:AG7"/>
    <mergeCell ref="BS8:BW8"/>
    <mergeCell ref="Q8:U8"/>
    <mergeCell ref="W8:AA8"/>
    <mergeCell ref="AC8:AG8"/>
    <mergeCell ref="AI8:AM8"/>
    <mergeCell ref="EM7:EQ7"/>
    <mergeCell ref="ES7:EW7"/>
    <mergeCell ref="EY7:FC7"/>
    <mergeCell ref="CW7:DA7"/>
    <mergeCell ref="AU7:AY7"/>
    <mergeCell ref="BA7:BE7"/>
    <mergeCell ref="BG7:BK7"/>
    <mergeCell ref="BM7:BQ7"/>
    <mergeCell ref="BS7:BW7"/>
    <mergeCell ref="BY7:CC7"/>
    <mergeCell ref="CE7:CI7"/>
    <mergeCell ref="CK7:CO7"/>
    <mergeCell ref="CQ7:CU7"/>
    <mergeCell ref="AO8:AS8"/>
    <mergeCell ref="AU8:AY8"/>
    <mergeCell ref="BA8:BE8"/>
    <mergeCell ref="BG8:BK8"/>
    <mergeCell ref="BM8:BQ8"/>
    <mergeCell ref="EA8:EE8"/>
    <mergeCell ref="BY8:CC8"/>
    <mergeCell ref="CE8:CI8"/>
    <mergeCell ref="CK8:CO8"/>
    <mergeCell ref="CQ8:CU8"/>
    <mergeCell ref="CW8:DA8"/>
    <mergeCell ref="DC8:DG8"/>
    <mergeCell ref="DI8:DM8"/>
    <mergeCell ref="DO8:DS8"/>
    <mergeCell ref="DU8:DY8"/>
    <mergeCell ref="GI8:GM8"/>
    <mergeCell ref="EG8:EK8"/>
    <mergeCell ref="EM8:EQ8"/>
    <mergeCell ref="ES8:EW8"/>
    <mergeCell ref="EY8:FC8"/>
    <mergeCell ref="FE8:FI8"/>
    <mergeCell ref="FK8:FO8"/>
    <mergeCell ref="FQ8:FU8"/>
    <mergeCell ref="FW8:GA8"/>
    <mergeCell ref="GC8:GG8"/>
    <mergeCell ref="IQ8:IU8"/>
    <mergeCell ref="GO8:GS8"/>
    <mergeCell ref="GU8:GY8"/>
    <mergeCell ref="HA8:HE8"/>
    <mergeCell ref="HG8:HK8"/>
    <mergeCell ref="IK9:IO9"/>
    <mergeCell ref="IQ9:IU9"/>
    <mergeCell ref="GO9:GS9"/>
    <mergeCell ref="GU9:GY9"/>
    <mergeCell ref="HA9:HE9"/>
    <mergeCell ref="HG9:HK9"/>
    <mergeCell ref="HM9:HQ9"/>
    <mergeCell ref="HM8:HQ8"/>
    <mergeCell ref="HS8:HW8"/>
    <mergeCell ref="HY8:IC8"/>
    <mergeCell ref="IE8:II8"/>
    <mergeCell ref="IK8:IO8"/>
    <mergeCell ref="IE9:II9"/>
    <mergeCell ref="K9:O9"/>
    <mergeCell ref="HS9:HW9"/>
    <mergeCell ref="HY9:IC9"/>
    <mergeCell ref="FK9:FO9"/>
    <mergeCell ref="FQ9:FU9"/>
    <mergeCell ref="FW9:GA9"/>
    <mergeCell ref="GC9:GG9"/>
    <mergeCell ref="GI9:GM9"/>
    <mergeCell ref="EG9:EK9"/>
    <mergeCell ref="EM9:EQ9"/>
    <mergeCell ref="ES9:EW9"/>
    <mergeCell ref="EY9:FC9"/>
    <mergeCell ref="FE9:FI9"/>
    <mergeCell ref="Q9:U9"/>
    <mergeCell ref="W9:AA9"/>
    <mergeCell ref="AC9:AG9"/>
    <mergeCell ref="AI9:AM9"/>
    <mergeCell ref="CW9:DA9"/>
    <mergeCell ref="AU9:AY9"/>
    <mergeCell ref="BA9:BE9"/>
    <mergeCell ref="BG9:BK9"/>
    <mergeCell ref="BM9:BQ9"/>
    <mergeCell ref="BS9:BW9"/>
    <mergeCell ref="AO9:AS9"/>
    <mergeCell ref="BY9:CC9"/>
    <mergeCell ref="CE9:CI9"/>
    <mergeCell ref="CK9:CO9"/>
    <mergeCell ref="CQ9:CU9"/>
    <mergeCell ref="EA10:EE10"/>
    <mergeCell ref="DC9:DG9"/>
    <mergeCell ref="DI9:DM9"/>
    <mergeCell ref="DO9:DS9"/>
    <mergeCell ref="DU9:DY9"/>
    <mergeCell ref="EA9:EE9"/>
    <mergeCell ref="IE10:II10"/>
    <mergeCell ref="IK10:IO10"/>
    <mergeCell ref="IQ10:IU10"/>
    <mergeCell ref="GO10:GS10"/>
    <mergeCell ref="GU10:GY10"/>
    <mergeCell ref="HA10:HE10"/>
    <mergeCell ref="HG10:HK10"/>
    <mergeCell ref="HM10:HQ10"/>
    <mergeCell ref="DC10:DG10"/>
    <mergeCell ref="DI10:DM10"/>
    <mergeCell ref="DO10:DS10"/>
    <mergeCell ref="DU10:DY10"/>
    <mergeCell ref="EM10:EQ10"/>
    <mergeCell ref="ES10:EW10"/>
    <mergeCell ref="K10:O10"/>
    <mergeCell ref="HS10:HW10"/>
    <mergeCell ref="HY10:IC10"/>
    <mergeCell ref="FK10:FO10"/>
    <mergeCell ref="FQ10:FU10"/>
    <mergeCell ref="FW10:GA10"/>
    <mergeCell ref="GC10:GG10"/>
    <mergeCell ref="GI10:GM10"/>
    <mergeCell ref="EG10:EK10"/>
    <mergeCell ref="EY10:FC10"/>
    <mergeCell ref="FE10:FI10"/>
    <mergeCell ref="K11:O11"/>
    <mergeCell ref="GO11:GS11"/>
    <mergeCell ref="BM11:BQ11"/>
    <mergeCell ref="BY10:CC10"/>
    <mergeCell ref="CE10:CI10"/>
    <mergeCell ref="CK10:CO10"/>
    <mergeCell ref="CQ10:CU10"/>
    <mergeCell ref="EA11:EE11"/>
    <mergeCell ref="BY11:CC11"/>
    <mergeCell ref="CE11:CI11"/>
    <mergeCell ref="CK11:CO11"/>
    <mergeCell ref="CQ11:CU11"/>
    <mergeCell ref="CW11:DA11"/>
    <mergeCell ref="Q10:U10"/>
    <mergeCell ref="W10:AA10"/>
    <mergeCell ref="AC10:AG10"/>
    <mergeCell ref="AI10:AM10"/>
    <mergeCell ref="CW10:DA10"/>
    <mergeCell ref="AU10:AY10"/>
    <mergeCell ref="BA10:BE10"/>
    <mergeCell ref="BG10:BK10"/>
    <mergeCell ref="BM10:BQ10"/>
    <mergeCell ref="BS10:BW10"/>
    <mergeCell ref="AO10:AS10"/>
    <mergeCell ref="HY11:IC11"/>
    <mergeCell ref="IE11:II11"/>
    <mergeCell ref="IK11:IO11"/>
    <mergeCell ref="IQ11:IU11"/>
    <mergeCell ref="HS11:HW11"/>
    <mergeCell ref="FK11:FO11"/>
    <mergeCell ref="FQ11:FU11"/>
    <mergeCell ref="FW11:GA11"/>
    <mergeCell ref="GC11:GG11"/>
    <mergeCell ref="HG11:HK11"/>
    <mergeCell ref="GU11:GY11"/>
    <mergeCell ref="HA11:HE11"/>
    <mergeCell ref="GI11:GM11"/>
    <mergeCell ref="HM11:HQ11"/>
    <mergeCell ref="BS11:BW11"/>
    <mergeCell ref="Q11:U11"/>
    <mergeCell ref="W11:AA11"/>
    <mergeCell ref="AC11:AG11"/>
    <mergeCell ref="AI11:AM11"/>
    <mergeCell ref="AO11:AS11"/>
    <mergeCell ref="AU11:AY11"/>
    <mergeCell ref="BA11:BE11"/>
    <mergeCell ref="BG11:BK11"/>
    <mergeCell ref="EG11:EK11"/>
    <mergeCell ref="EM11:EQ11"/>
    <mergeCell ref="ES11:EW11"/>
    <mergeCell ref="EY11:FC11"/>
    <mergeCell ref="FE11:FI11"/>
    <mergeCell ref="DC11:DG11"/>
    <mergeCell ref="DI11:DM11"/>
    <mergeCell ref="DO11:DS11"/>
    <mergeCell ref="DU11:DY11"/>
    <mergeCell ref="IK12:IO12"/>
    <mergeCell ref="IQ12:IU12"/>
    <mergeCell ref="AI12:AM12"/>
    <mergeCell ref="AO12:AS12"/>
    <mergeCell ref="K12:O12"/>
    <mergeCell ref="HS12:HW12"/>
    <mergeCell ref="GO12:GS12"/>
    <mergeCell ref="GU12:GY12"/>
    <mergeCell ref="HA12:HE12"/>
    <mergeCell ref="HG12:HK12"/>
    <mergeCell ref="FQ12:FU12"/>
    <mergeCell ref="FW12:GA12"/>
    <mergeCell ref="GC12:GG12"/>
    <mergeCell ref="GI12:GM12"/>
    <mergeCell ref="HY12:IC12"/>
    <mergeCell ref="IE12:II12"/>
    <mergeCell ref="HM12:HQ12"/>
    <mergeCell ref="FE12:FI12"/>
    <mergeCell ref="DC12:DG12"/>
    <mergeCell ref="DI12:DM12"/>
    <mergeCell ref="DO12:DS12"/>
    <mergeCell ref="DU12:DY12"/>
    <mergeCell ref="EA12:EE12"/>
    <mergeCell ref="EG12:EK12"/>
    <mergeCell ref="FK12:FO12"/>
    <mergeCell ref="K13:O13"/>
    <mergeCell ref="Q12:U12"/>
    <mergeCell ref="W12:AA12"/>
    <mergeCell ref="AC12:AG12"/>
    <mergeCell ref="BS13:BW13"/>
    <mergeCell ref="Q13:U13"/>
    <mergeCell ref="W13:AA13"/>
    <mergeCell ref="AC13:AG13"/>
    <mergeCell ref="AI13:AM13"/>
    <mergeCell ref="EM12:EQ12"/>
    <mergeCell ref="ES12:EW12"/>
    <mergeCell ref="EY12:FC12"/>
    <mergeCell ref="CW12:DA12"/>
    <mergeCell ref="AU12:AY12"/>
    <mergeCell ref="BA12:BE12"/>
    <mergeCell ref="BG12:BK12"/>
    <mergeCell ref="BM12:BQ12"/>
    <mergeCell ref="BS12:BW12"/>
    <mergeCell ref="BY12:CC12"/>
    <mergeCell ref="CE12:CI12"/>
    <mergeCell ref="CK12:CO12"/>
    <mergeCell ref="CQ12:CU12"/>
    <mergeCell ref="AO13:AS13"/>
    <mergeCell ref="AU13:AY13"/>
    <mergeCell ref="BA13:BE13"/>
    <mergeCell ref="BG13:BK13"/>
    <mergeCell ref="BM13:BQ13"/>
    <mergeCell ref="EA13:EE13"/>
    <mergeCell ref="BY13:CC13"/>
    <mergeCell ref="CE13:CI13"/>
    <mergeCell ref="CK13:CO13"/>
    <mergeCell ref="CQ13:CU13"/>
    <mergeCell ref="CW13:DA13"/>
    <mergeCell ref="DC13:DG13"/>
    <mergeCell ref="DI13:DM13"/>
    <mergeCell ref="DO13:DS13"/>
    <mergeCell ref="DU13:DY13"/>
    <mergeCell ref="GI13:GM13"/>
    <mergeCell ref="EG13:EK13"/>
    <mergeCell ref="EM13:EQ13"/>
    <mergeCell ref="ES13:EW13"/>
    <mergeCell ref="EY13:FC13"/>
    <mergeCell ref="FE13:FI13"/>
    <mergeCell ref="FK13:FO13"/>
    <mergeCell ref="FQ13:FU13"/>
    <mergeCell ref="FW13:GA13"/>
    <mergeCell ref="GC13:GG13"/>
    <mergeCell ref="IQ13:IU13"/>
    <mergeCell ref="GO13:GS13"/>
    <mergeCell ref="GU13:GY13"/>
    <mergeCell ref="HA13:HE13"/>
    <mergeCell ref="HG13:HK13"/>
    <mergeCell ref="IK14:IO14"/>
    <mergeCell ref="IQ14:IU14"/>
    <mergeCell ref="GO14:GS14"/>
    <mergeCell ref="GU14:GY14"/>
    <mergeCell ref="HA14:HE14"/>
    <mergeCell ref="HG14:HK14"/>
    <mergeCell ref="HM14:HQ14"/>
    <mergeCell ref="HM13:HQ13"/>
    <mergeCell ref="HS13:HW13"/>
    <mergeCell ref="HY13:IC13"/>
    <mergeCell ref="IE13:II13"/>
    <mergeCell ref="IK13:IO13"/>
    <mergeCell ref="IE14:II14"/>
    <mergeCell ref="K14:O14"/>
    <mergeCell ref="HS14:HW14"/>
    <mergeCell ref="HY14:IC14"/>
    <mergeCell ref="FK14:FO14"/>
    <mergeCell ref="FQ14:FU14"/>
    <mergeCell ref="FW14:GA14"/>
    <mergeCell ref="GC14:GG14"/>
    <mergeCell ref="GI14:GM14"/>
    <mergeCell ref="EG14:EK14"/>
    <mergeCell ref="EM14:EQ14"/>
    <mergeCell ref="ES14:EW14"/>
    <mergeCell ref="EY14:FC14"/>
    <mergeCell ref="FE14:FI14"/>
    <mergeCell ref="Q14:U14"/>
    <mergeCell ref="W14:AA14"/>
    <mergeCell ref="AC14:AG14"/>
    <mergeCell ref="AI14:AM14"/>
    <mergeCell ref="CW14:DA14"/>
    <mergeCell ref="AU14:AY14"/>
    <mergeCell ref="BA14:BE14"/>
    <mergeCell ref="BG14:BK14"/>
    <mergeCell ref="BM14:BQ14"/>
    <mergeCell ref="BS14:BW14"/>
    <mergeCell ref="AO14:AS14"/>
    <mergeCell ref="BY14:CC14"/>
    <mergeCell ref="CE14:CI14"/>
    <mergeCell ref="CK14:CO14"/>
    <mergeCell ref="CQ14:CU14"/>
    <mergeCell ref="EA15:EE15"/>
    <mergeCell ref="DC14:DG14"/>
    <mergeCell ref="DI14:DM14"/>
    <mergeCell ref="DO14:DS14"/>
    <mergeCell ref="DU14:DY14"/>
    <mergeCell ref="EA14:EE14"/>
    <mergeCell ref="IE15:II15"/>
    <mergeCell ref="IK15:IO15"/>
    <mergeCell ref="IQ15:IU15"/>
    <mergeCell ref="GO15:GS15"/>
    <mergeCell ref="GU15:GY15"/>
    <mergeCell ref="HA15:HE15"/>
    <mergeCell ref="HG15:HK15"/>
    <mergeCell ref="HM15:HQ15"/>
    <mergeCell ref="DC15:DG15"/>
    <mergeCell ref="DI15:DM15"/>
    <mergeCell ref="DO15:DS15"/>
    <mergeCell ref="DU15:DY15"/>
    <mergeCell ref="EM15:EQ15"/>
    <mergeCell ref="ES15:EW15"/>
    <mergeCell ref="K15:O15"/>
    <mergeCell ref="HS15:HW15"/>
    <mergeCell ref="HY15:IC15"/>
    <mergeCell ref="FK15:FO15"/>
    <mergeCell ref="FQ15:FU15"/>
    <mergeCell ref="FW15:GA15"/>
    <mergeCell ref="GC15:GG15"/>
    <mergeCell ref="GI15:GM15"/>
    <mergeCell ref="EG15:EK15"/>
    <mergeCell ref="EY15:FC15"/>
    <mergeCell ref="FE15:FI15"/>
    <mergeCell ref="K16:O16"/>
    <mergeCell ref="GO16:GS16"/>
    <mergeCell ref="BM16:BQ16"/>
    <mergeCell ref="BY15:CC15"/>
    <mergeCell ref="CE15:CI15"/>
    <mergeCell ref="CK15:CO15"/>
    <mergeCell ref="CQ15:CU15"/>
    <mergeCell ref="EA16:EE16"/>
    <mergeCell ref="BY16:CC16"/>
    <mergeCell ref="CE16:CI16"/>
    <mergeCell ref="CK16:CO16"/>
    <mergeCell ref="CQ16:CU16"/>
    <mergeCell ref="CW16:DA16"/>
    <mergeCell ref="Q15:U15"/>
    <mergeCell ref="W15:AA15"/>
    <mergeCell ref="AC15:AG15"/>
    <mergeCell ref="AI15:AM15"/>
    <mergeCell ref="CW15:DA15"/>
    <mergeCell ref="AU15:AY15"/>
    <mergeCell ref="BA15:BE15"/>
    <mergeCell ref="BG15:BK15"/>
    <mergeCell ref="BM15:BQ15"/>
    <mergeCell ref="BS15:BW15"/>
    <mergeCell ref="AO15:AS15"/>
    <mergeCell ref="HY16:IC16"/>
    <mergeCell ref="IE16:II16"/>
    <mergeCell ref="IK16:IO16"/>
    <mergeCell ref="IQ16:IU16"/>
    <mergeCell ref="HS16:HW16"/>
    <mergeCell ref="FK16:FO16"/>
    <mergeCell ref="FQ16:FU16"/>
    <mergeCell ref="FW16:GA16"/>
    <mergeCell ref="GC16:GG16"/>
    <mergeCell ref="HG16:HK16"/>
    <mergeCell ref="GU16:GY16"/>
    <mergeCell ref="HA16:HE16"/>
    <mergeCell ref="GI16:GM16"/>
    <mergeCell ref="HM16:HQ16"/>
    <mergeCell ref="BS16:BW16"/>
    <mergeCell ref="Q16:U16"/>
    <mergeCell ref="W16:AA16"/>
    <mergeCell ref="AC16:AG16"/>
    <mergeCell ref="AI16:AM16"/>
    <mergeCell ref="AO16:AS16"/>
    <mergeCell ref="AU16:AY16"/>
    <mergeCell ref="BA16:BE16"/>
    <mergeCell ref="BG16:BK16"/>
    <mergeCell ref="EG16:EK16"/>
    <mergeCell ref="EM16:EQ16"/>
    <mergeCell ref="ES16:EW16"/>
    <mergeCell ref="EY16:FC16"/>
    <mergeCell ref="FE16:FI16"/>
    <mergeCell ref="DC16:DG16"/>
    <mergeCell ref="DI16:DM16"/>
    <mergeCell ref="DO16:DS16"/>
    <mergeCell ref="DU16:DY16"/>
    <mergeCell ref="IK17:IO17"/>
    <mergeCell ref="IQ17:IU17"/>
    <mergeCell ref="AI17:AM17"/>
    <mergeCell ref="AO17:AS17"/>
    <mergeCell ref="K17:O17"/>
    <mergeCell ref="HS17:HW17"/>
    <mergeCell ref="GO17:GS17"/>
    <mergeCell ref="GU17:GY17"/>
    <mergeCell ref="HA17:HE17"/>
    <mergeCell ref="HG17:HK17"/>
    <mergeCell ref="FQ17:FU17"/>
    <mergeCell ref="FW17:GA17"/>
    <mergeCell ref="GC17:GG17"/>
    <mergeCell ref="GI17:GM17"/>
    <mergeCell ref="HY17:IC17"/>
    <mergeCell ref="IE17:II17"/>
    <mergeCell ref="HM17:HQ17"/>
    <mergeCell ref="FE17:FI17"/>
    <mergeCell ref="DC17:DG17"/>
    <mergeCell ref="DI17:DM17"/>
    <mergeCell ref="DO17:DS17"/>
    <mergeCell ref="DU17:DY17"/>
    <mergeCell ref="EA17:EE17"/>
    <mergeCell ref="EG17:EK17"/>
    <mergeCell ref="FK17:FO17"/>
    <mergeCell ref="K18:O18"/>
    <mergeCell ref="Q17:U17"/>
    <mergeCell ref="W17:AA17"/>
    <mergeCell ref="AC17:AG17"/>
    <mergeCell ref="BS18:BW18"/>
    <mergeCell ref="Q18:U18"/>
    <mergeCell ref="W18:AA18"/>
    <mergeCell ref="AC18:AG18"/>
    <mergeCell ref="AI18:AM18"/>
    <mergeCell ref="EM17:EQ17"/>
    <mergeCell ref="ES17:EW17"/>
    <mergeCell ref="EY17:FC17"/>
    <mergeCell ref="CW17:DA17"/>
    <mergeCell ref="AU17:AY17"/>
    <mergeCell ref="BA17:BE17"/>
    <mergeCell ref="BG17:BK17"/>
    <mergeCell ref="BM17:BQ17"/>
    <mergeCell ref="BS17:BW17"/>
    <mergeCell ref="BY17:CC17"/>
    <mergeCell ref="CE17:CI17"/>
    <mergeCell ref="CK17:CO17"/>
    <mergeCell ref="CQ17:CU17"/>
    <mergeCell ref="AO18:AS18"/>
    <mergeCell ref="AU18:AY18"/>
    <mergeCell ref="BA18:BE18"/>
    <mergeCell ref="BG18:BK18"/>
    <mergeCell ref="BM18:BQ18"/>
    <mergeCell ref="EA18:EE18"/>
    <mergeCell ref="BY18:CC18"/>
    <mergeCell ref="CE18:CI18"/>
    <mergeCell ref="CK18:CO18"/>
    <mergeCell ref="CQ18:CU18"/>
    <mergeCell ref="CW18:DA18"/>
    <mergeCell ref="DC18:DG18"/>
    <mergeCell ref="DI18:DM18"/>
    <mergeCell ref="DO18:DS18"/>
    <mergeCell ref="DU18:DY18"/>
    <mergeCell ref="GI18:GM18"/>
    <mergeCell ref="EG18:EK18"/>
    <mergeCell ref="EM18:EQ18"/>
    <mergeCell ref="ES18:EW18"/>
    <mergeCell ref="EY18:FC18"/>
    <mergeCell ref="FE18:FI18"/>
    <mergeCell ref="FK18:FO18"/>
    <mergeCell ref="FQ18:FU18"/>
    <mergeCell ref="FW18:GA18"/>
    <mergeCell ref="GC18:GG18"/>
    <mergeCell ref="IQ18:IU18"/>
    <mergeCell ref="GO18:GS18"/>
    <mergeCell ref="GU18:GY18"/>
    <mergeCell ref="HA18:HE18"/>
    <mergeCell ref="HG18:HK18"/>
    <mergeCell ref="IK19:IO19"/>
    <mergeCell ref="IQ19:IU19"/>
    <mergeCell ref="GO19:GS19"/>
    <mergeCell ref="GU19:GY19"/>
    <mergeCell ref="HA19:HE19"/>
    <mergeCell ref="HG19:HK19"/>
    <mergeCell ref="HM19:HQ19"/>
    <mergeCell ref="HM18:HQ18"/>
    <mergeCell ref="HS18:HW18"/>
    <mergeCell ref="HY18:IC18"/>
    <mergeCell ref="IE18:II18"/>
    <mergeCell ref="IK18:IO18"/>
    <mergeCell ref="IE19:II19"/>
    <mergeCell ref="K19:O19"/>
    <mergeCell ref="HS19:HW19"/>
    <mergeCell ref="HY19:IC19"/>
    <mergeCell ref="FK19:FO19"/>
    <mergeCell ref="FQ19:FU19"/>
    <mergeCell ref="FW19:GA19"/>
    <mergeCell ref="GC19:GG19"/>
    <mergeCell ref="GI19:GM19"/>
    <mergeCell ref="EG19:EK19"/>
    <mergeCell ref="EM19:EQ19"/>
    <mergeCell ref="ES19:EW19"/>
    <mergeCell ref="EY19:FC19"/>
    <mergeCell ref="FE19:FI19"/>
    <mergeCell ref="Q19:U19"/>
    <mergeCell ref="W19:AA19"/>
    <mergeCell ref="AC19:AG19"/>
    <mergeCell ref="AI19:AM19"/>
    <mergeCell ref="CW19:DA19"/>
    <mergeCell ref="AU19:AY19"/>
    <mergeCell ref="BA19:BE19"/>
    <mergeCell ref="BG19:BK19"/>
    <mergeCell ref="BM19:BQ19"/>
    <mergeCell ref="BS19:BW19"/>
    <mergeCell ref="AO19:AS19"/>
    <mergeCell ref="BY19:CC19"/>
    <mergeCell ref="CE19:CI19"/>
    <mergeCell ref="CK19:CO19"/>
    <mergeCell ref="CQ19:CU19"/>
    <mergeCell ref="EA20:EE20"/>
    <mergeCell ref="DC19:DG19"/>
    <mergeCell ref="DI19:DM19"/>
    <mergeCell ref="DO19:DS19"/>
    <mergeCell ref="DU19:DY19"/>
    <mergeCell ref="EA19:EE19"/>
    <mergeCell ref="IE20:II20"/>
    <mergeCell ref="IK20:IO20"/>
    <mergeCell ref="IQ20:IU20"/>
    <mergeCell ref="GO20:GS20"/>
    <mergeCell ref="GU20:GY20"/>
    <mergeCell ref="HA20:HE20"/>
    <mergeCell ref="HG20:HK20"/>
    <mergeCell ref="HM20:HQ20"/>
    <mergeCell ref="DC20:DG20"/>
    <mergeCell ref="DI20:DM20"/>
    <mergeCell ref="DO20:DS20"/>
    <mergeCell ref="DU20:DY20"/>
    <mergeCell ref="EM20:EQ20"/>
    <mergeCell ref="ES20:EW20"/>
    <mergeCell ref="K20:O20"/>
    <mergeCell ref="HS20:HW20"/>
    <mergeCell ref="HY20:IC20"/>
    <mergeCell ref="FK20:FO20"/>
    <mergeCell ref="FQ20:FU20"/>
    <mergeCell ref="FW20:GA20"/>
    <mergeCell ref="GC20:GG20"/>
    <mergeCell ref="GI20:GM20"/>
    <mergeCell ref="EG20:EK20"/>
    <mergeCell ref="EY20:FC20"/>
    <mergeCell ref="FE20:FI20"/>
    <mergeCell ref="K21:O21"/>
    <mergeCell ref="GO21:GS21"/>
    <mergeCell ref="BM21:BQ21"/>
    <mergeCell ref="BY20:CC20"/>
    <mergeCell ref="CE20:CI20"/>
    <mergeCell ref="CK20:CO20"/>
    <mergeCell ref="CQ20:CU20"/>
    <mergeCell ref="EA21:EE21"/>
    <mergeCell ref="BY21:CC21"/>
    <mergeCell ref="CE21:CI21"/>
    <mergeCell ref="CK21:CO21"/>
    <mergeCell ref="CQ21:CU21"/>
    <mergeCell ref="CW21:DA21"/>
    <mergeCell ref="Q20:U20"/>
    <mergeCell ref="W20:AA20"/>
    <mergeCell ref="AC20:AG20"/>
    <mergeCell ref="AI20:AM20"/>
    <mergeCell ref="CW20:DA20"/>
    <mergeCell ref="AU20:AY20"/>
    <mergeCell ref="BA20:BE20"/>
    <mergeCell ref="BG20:BK20"/>
    <mergeCell ref="BM20:BQ20"/>
    <mergeCell ref="BS20:BW20"/>
    <mergeCell ref="AO20:AS20"/>
    <mergeCell ref="HY21:IC21"/>
    <mergeCell ref="IE21:II21"/>
    <mergeCell ref="IK21:IO21"/>
    <mergeCell ref="IQ21:IU21"/>
    <mergeCell ref="HS21:HW21"/>
    <mergeCell ref="FK21:FO21"/>
    <mergeCell ref="FQ21:FU21"/>
    <mergeCell ref="FW21:GA21"/>
    <mergeCell ref="GC21:GG21"/>
    <mergeCell ref="HG21:HK21"/>
    <mergeCell ref="GU21:GY21"/>
    <mergeCell ref="HA21:HE21"/>
    <mergeCell ref="GI21:GM21"/>
    <mergeCell ref="HM21:HQ21"/>
    <mergeCell ref="BS21:BW21"/>
    <mergeCell ref="Q21:U21"/>
    <mergeCell ref="W21:AA21"/>
    <mergeCell ref="AC21:AG21"/>
    <mergeCell ref="AI21:AM21"/>
    <mergeCell ref="AO21:AS21"/>
    <mergeCell ref="AU21:AY21"/>
    <mergeCell ref="BA21:BE21"/>
    <mergeCell ref="BG21:BK21"/>
    <mergeCell ref="EG21:EK21"/>
    <mergeCell ref="EM21:EQ21"/>
    <mergeCell ref="ES21:EW21"/>
    <mergeCell ref="EY21:FC21"/>
    <mergeCell ref="FE21:FI21"/>
    <mergeCell ref="DC21:DG21"/>
    <mergeCell ref="DI21:DM21"/>
    <mergeCell ref="DO21:DS21"/>
    <mergeCell ref="DU21:DY21"/>
    <mergeCell ref="IK22:IO22"/>
    <mergeCell ref="IQ22:IU22"/>
    <mergeCell ref="AI22:AM22"/>
    <mergeCell ref="AO22:AS22"/>
    <mergeCell ref="K22:O22"/>
    <mergeCell ref="HS22:HW22"/>
    <mergeCell ref="GO22:GS22"/>
    <mergeCell ref="GU22:GY22"/>
    <mergeCell ref="HA22:HE22"/>
    <mergeCell ref="HG22:HK22"/>
    <mergeCell ref="FQ22:FU22"/>
    <mergeCell ref="FW22:GA22"/>
    <mergeCell ref="GC22:GG22"/>
    <mergeCell ref="GI22:GM22"/>
    <mergeCell ref="HY22:IC22"/>
    <mergeCell ref="IE22:II22"/>
    <mergeCell ref="HM22:HQ22"/>
    <mergeCell ref="FE22:FI22"/>
    <mergeCell ref="DC22:DG22"/>
    <mergeCell ref="DI22:DM22"/>
    <mergeCell ref="DO22:DS22"/>
    <mergeCell ref="DU22:DY22"/>
    <mergeCell ref="EA22:EE22"/>
    <mergeCell ref="EG22:EK22"/>
    <mergeCell ref="FK22:FO22"/>
    <mergeCell ref="K23:O23"/>
    <mergeCell ref="Q22:U22"/>
    <mergeCell ref="W22:AA22"/>
    <mergeCell ref="AC22:AG22"/>
    <mergeCell ref="BS23:BW23"/>
    <mergeCell ref="Q23:U23"/>
    <mergeCell ref="W23:AA23"/>
    <mergeCell ref="AC23:AG23"/>
    <mergeCell ref="AI23:AM23"/>
    <mergeCell ref="EM22:EQ22"/>
    <mergeCell ref="ES22:EW22"/>
    <mergeCell ref="EY22:FC22"/>
    <mergeCell ref="CW22:DA22"/>
    <mergeCell ref="AU22:AY22"/>
    <mergeCell ref="BA22:BE22"/>
    <mergeCell ref="BG22:BK22"/>
    <mergeCell ref="BM22:BQ22"/>
    <mergeCell ref="BS22:BW22"/>
    <mergeCell ref="BY22:CC22"/>
    <mergeCell ref="CE22:CI22"/>
    <mergeCell ref="CK22:CO22"/>
    <mergeCell ref="CQ22:CU22"/>
    <mergeCell ref="IQ23:IU23"/>
    <mergeCell ref="GO23:GS23"/>
    <mergeCell ref="GU23:GY23"/>
    <mergeCell ref="HA23:HE23"/>
    <mergeCell ref="HG23:HK23"/>
    <mergeCell ref="CW23:DA23"/>
    <mergeCell ref="DC23:DG23"/>
    <mergeCell ref="DI23:DM23"/>
    <mergeCell ref="DO23:DS23"/>
    <mergeCell ref="DU23:DY23"/>
    <mergeCell ref="GI23:GM23"/>
    <mergeCell ref="EG23:EK23"/>
    <mergeCell ref="EM23:EQ23"/>
    <mergeCell ref="ES23:EW23"/>
    <mergeCell ref="EY23:FC23"/>
    <mergeCell ref="EA23:EE23"/>
    <mergeCell ref="HM23:HQ23"/>
    <mergeCell ref="HS23:HW23"/>
    <mergeCell ref="HY23:IC23"/>
    <mergeCell ref="IE23:II23"/>
    <mergeCell ref="IK23:IO23"/>
    <mergeCell ref="FE23:FI23"/>
    <mergeCell ref="FK23:FO23"/>
    <mergeCell ref="FQ23:FU23"/>
    <mergeCell ref="FW23:GA23"/>
    <mergeCell ref="GC23:GG23"/>
    <mergeCell ref="IE24:II24"/>
    <mergeCell ref="FK24:FO24"/>
    <mergeCell ref="FQ24:FU24"/>
    <mergeCell ref="FW24:GA24"/>
    <mergeCell ref="GC24:GG24"/>
    <mergeCell ref="GI24:GM24"/>
    <mergeCell ref="CK24:CO24"/>
    <mergeCell ref="CQ24:CU24"/>
    <mergeCell ref="K24:O24"/>
    <mergeCell ref="HS24:HW24"/>
    <mergeCell ref="HY24:IC24"/>
    <mergeCell ref="Q24:U24"/>
    <mergeCell ref="CW24:DA24"/>
    <mergeCell ref="EG24:EK24"/>
    <mergeCell ref="IQ24:IU24"/>
    <mergeCell ref="GO24:GS24"/>
    <mergeCell ref="GU24:GY24"/>
    <mergeCell ref="HA24:HE24"/>
    <mergeCell ref="HG24:HK24"/>
    <mergeCell ref="HM24:HQ24"/>
    <mergeCell ref="DU24:DY24"/>
    <mergeCell ref="EA24:EE24"/>
    <mergeCell ref="EM24:EQ24"/>
    <mergeCell ref="ES24:EW24"/>
    <mergeCell ref="EY24:FC24"/>
    <mergeCell ref="FE24:FI24"/>
    <mergeCell ref="IK24:IO24"/>
    <mergeCell ref="A6:D6"/>
    <mergeCell ref="DC24:DG24"/>
    <mergeCell ref="DI24:DM24"/>
    <mergeCell ref="DO24:DS24"/>
    <mergeCell ref="AU24:AY24"/>
    <mergeCell ref="BA24:BE24"/>
    <mergeCell ref="BG24:BK24"/>
    <mergeCell ref="BM24:BQ24"/>
    <mergeCell ref="BS24:BW24"/>
    <mergeCell ref="W24:AA24"/>
    <mergeCell ref="AC24:AG24"/>
    <mergeCell ref="AI24:AM24"/>
    <mergeCell ref="AO24:AS24"/>
    <mergeCell ref="AO23:AS23"/>
    <mergeCell ref="AU23:AY23"/>
    <mergeCell ref="BA23:BE23"/>
    <mergeCell ref="BG23:BK23"/>
    <mergeCell ref="BM23:BQ23"/>
    <mergeCell ref="BY23:CC23"/>
    <mergeCell ref="CE23:CI23"/>
    <mergeCell ref="CK23:CO23"/>
    <mergeCell ref="CQ23:CU23"/>
    <mergeCell ref="BY24:CC24"/>
    <mergeCell ref="CE24:CI24"/>
  </mergeCells>
  <phoneticPr fontId="7" type="noConversion"/>
  <pageMargins left="0.78740157499999996" right="0.78740157499999996" top="0.984251969" bottom="0.984251969" header="0.5" footer="0.5"/>
  <pageSetup paperSize="9" orientation="portrait" horizontalDpi="4294967292" verticalDpi="4294967292" r:id="rId1"/>
  <headerFooter alignWithMargins="0">
    <oddHeader>&amp;RS. &amp;P/ &amp;N&amp;CForschungszentrum Jülich GmbH
 Messstellenkonfiguration&amp;LIBG-3_TERENO_FB 7-204</oddHeader>
    <oddFooter>&amp;RRevision: 2&amp;CGültig seit: 2013-09-25
gedruckt am: 2016-02-04&amp;LErstellt: Thomas Muckenheim
Geprüft: Thomas Muckenheim
Freigabe: Dr. Ralf Kunkel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Schaltfläche1_BeiKlick">
                <anchor moveWithCells="1" sizeWithCells="1">
                  <from>
                    <xdr:col>1</xdr:col>
                    <xdr:colOff>19050</xdr:colOff>
                    <xdr:row>8</xdr:row>
                    <xdr:rowOff>9525</xdr:rowOff>
                  </from>
                  <to>
                    <xdr:col>3</xdr:col>
                    <xdr:colOff>0</xdr:colOff>
                    <xdr:row>10</xdr:row>
                    <xdr:rowOff>161925</xdr:rowOff>
                  </to>
                </anchor>
              </controlPr>
            </control>
          </mc:Choice>
        </mc:AlternateContent>
        <mc:AlternateContent xmlns:mc="http://schemas.openxmlformats.org/markup-compatibility/2006">
          <mc:Choice Requires="x14">
            <control shapeId="7170" r:id="rId5" name="Button 2">
              <controlPr defaultSize="0" print="0" autoFill="0" autoPict="0" macro="[0]!Schaltfläche2_BeiKlick">
                <anchor moveWithCells="1" sizeWithCells="1">
                  <from>
                    <xdr:col>1</xdr:col>
                    <xdr:colOff>0</xdr:colOff>
                    <xdr:row>14</xdr:row>
                    <xdr:rowOff>0</xdr:rowOff>
                  </from>
                  <to>
                    <xdr:col>3</xdr:col>
                    <xdr:colOff>0</xdr:colOff>
                    <xdr:row>17</xdr:row>
                    <xdr:rowOff>28575</xdr:rowOff>
                  </to>
                </anchor>
              </controlPr>
            </control>
          </mc:Choice>
        </mc:AlternateContent>
        <mc:AlternateContent xmlns:mc="http://schemas.openxmlformats.org/markup-compatibility/2006">
          <mc:Choice Requires="x14">
            <control shapeId="7171" r:id="rId6" name="Button 3">
              <controlPr defaultSize="0" print="0" autoFill="0" autoPict="0" macro="[0]!Schaltfläche8_BeiKlick">
                <anchor moveWithCells="1" sizeWithCells="1">
                  <from>
                    <xdr:col>1</xdr:col>
                    <xdr:colOff>9525</xdr:colOff>
                    <xdr:row>20</xdr:row>
                    <xdr:rowOff>9525</xdr:rowOff>
                  </from>
                  <to>
                    <xdr:col>2</xdr:col>
                    <xdr:colOff>695325</xdr:colOff>
                    <xdr:row>22</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tt2">
    <pageSetUpPr fitToPage="1"/>
  </sheetPr>
  <dimension ref="A1:I851"/>
  <sheetViews>
    <sheetView topLeftCell="A7" workbookViewId="0">
      <selection activeCell="A18" sqref="A18:D18"/>
    </sheetView>
  </sheetViews>
  <sheetFormatPr baseColWidth="10" defaultColWidth="10.85546875" defaultRowHeight="15.75"/>
  <cols>
    <col min="1" max="1" width="63.7109375" style="3" customWidth="1"/>
    <col min="2" max="4" width="33" style="3" customWidth="1"/>
    <col min="5" max="6" width="10.85546875" style="2" customWidth="1"/>
    <col min="7" max="7" width="24" style="2" customWidth="1"/>
    <col min="8" max="8" width="45.140625" style="2" customWidth="1"/>
    <col min="9" max="9" width="71.140625" style="2" customWidth="1"/>
    <col min="10" max="16384" width="10.85546875" style="2"/>
  </cols>
  <sheetData>
    <row r="1" spans="1:9" ht="27" customHeight="1">
      <c r="A1" s="11" t="s">
        <v>907</v>
      </c>
      <c r="B1" s="180" t="str">
        <f>CONCATENATE(UPPER(MID(B13,1,2)),"_",G29,"_000")</f>
        <v>BE_K_000</v>
      </c>
      <c r="C1" s="181"/>
      <c r="D1" s="181"/>
      <c r="G1" s="18" t="s">
        <v>914</v>
      </c>
      <c r="H1" s="18" t="s">
        <v>913</v>
      </c>
      <c r="I1" s="2" t="s">
        <v>958</v>
      </c>
    </row>
    <row r="2" spans="1:9" ht="27" customHeight="1">
      <c r="A2" s="16" t="s">
        <v>905</v>
      </c>
      <c r="B2" s="182"/>
      <c r="C2" s="183"/>
      <c r="D2" s="183"/>
      <c r="F2" s="158" t="s">
        <v>1104</v>
      </c>
      <c r="G2" s="158" t="s">
        <v>1103</v>
      </c>
      <c r="H2" s="2" t="s">
        <v>14</v>
      </c>
      <c r="I2" s="2" t="s">
        <v>14</v>
      </c>
    </row>
    <row r="3" spans="1:9" ht="27" customHeight="1">
      <c r="A3" s="16" t="s">
        <v>908</v>
      </c>
      <c r="B3" s="195" t="s">
        <v>1097</v>
      </c>
      <c r="C3" s="196"/>
      <c r="D3" s="196"/>
      <c r="F3" s="158" t="s">
        <v>1105</v>
      </c>
      <c r="G3" s="158" t="s">
        <v>1106</v>
      </c>
      <c r="H3" s="2" t="s">
        <v>925</v>
      </c>
      <c r="I3" s="2" t="s">
        <v>960</v>
      </c>
    </row>
    <row r="4" spans="1:9" ht="18.95" customHeight="1">
      <c r="A4" s="185" t="s">
        <v>906</v>
      </c>
      <c r="B4" s="189"/>
      <c r="C4" s="190"/>
      <c r="D4" s="191"/>
      <c r="F4" s="158" t="s">
        <v>1107</v>
      </c>
      <c r="G4" s="158" t="s">
        <v>1108</v>
      </c>
      <c r="H4" s="2" t="s">
        <v>928</v>
      </c>
      <c r="I4" s="2" t="s">
        <v>961</v>
      </c>
    </row>
    <row r="5" spans="1:9" ht="18.95" customHeight="1">
      <c r="A5" s="186"/>
      <c r="B5" s="192"/>
      <c r="C5" s="193"/>
      <c r="D5" s="194"/>
      <c r="F5" s="158" t="s">
        <v>1109</v>
      </c>
      <c r="G5" s="158" t="s">
        <v>1110</v>
      </c>
      <c r="H5" s="2" t="s">
        <v>930</v>
      </c>
      <c r="I5" s="2" t="s">
        <v>962</v>
      </c>
    </row>
    <row r="6" spans="1:9" ht="18.95" customHeight="1">
      <c r="A6" s="186"/>
      <c r="B6" s="192"/>
      <c r="C6" s="193"/>
      <c r="D6" s="194"/>
      <c r="F6" s="158" t="s">
        <v>1111</v>
      </c>
      <c r="G6" s="158" t="s">
        <v>1112</v>
      </c>
      <c r="H6" s="2" t="s">
        <v>929</v>
      </c>
      <c r="I6" s="2" t="s">
        <v>963</v>
      </c>
    </row>
    <row r="7" spans="1:9" ht="18.95" customHeight="1">
      <c r="A7" s="186"/>
      <c r="B7" s="192"/>
      <c r="C7" s="193"/>
      <c r="D7" s="194"/>
      <c r="F7" s="158" t="s">
        <v>1113</v>
      </c>
      <c r="G7" s="158" t="s">
        <v>1114</v>
      </c>
      <c r="H7" s="2" t="s">
        <v>926</v>
      </c>
      <c r="I7" s="2" t="s">
        <v>964</v>
      </c>
    </row>
    <row r="8" spans="1:9" ht="18.95" customHeight="1">
      <c r="A8" s="186"/>
      <c r="B8" s="192"/>
      <c r="C8" s="193"/>
      <c r="D8" s="194"/>
      <c r="F8" s="158" t="s">
        <v>1115</v>
      </c>
      <c r="G8" s="158" t="s">
        <v>1102</v>
      </c>
      <c r="H8" s="2" t="s">
        <v>932</v>
      </c>
      <c r="I8" s="2" t="s">
        <v>965</v>
      </c>
    </row>
    <row r="9" spans="1:9" ht="18.95" customHeight="1">
      <c r="A9" s="186"/>
      <c r="B9" s="192"/>
      <c r="C9" s="193"/>
      <c r="D9" s="194"/>
      <c r="F9" s="158" t="s">
        <v>1116</v>
      </c>
      <c r="G9" s="158" t="s">
        <v>1117</v>
      </c>
      <c r="H9" s="2" t="s">
        <v>933</v>
      </c>
      <c r="I9" s="2" t="s">
        <v>966</v>
      </c>
    </row>
    <row r="10" spans="1:9" ht="18.95" customHeight="1">
      <c r="A10" s="186"/>
      <c r="B10" s="192"/>
      <c r="C10" s="193"/>
      <c r="D10" s="194"/>
      <c r="F10" s="158" t="s">
        <v>1118</v>
      </c>
      <c r="G10" s="158" t="s">
        <v>1119</v>
      </c>
      <c r="H10" s="2" t="s">
        <v>927</v>
      </c>
      <c r="I10" s="2" t="s">
        <v>967</v>
      </c>
    </row>
    <row r="11" spans="1:9" ht="18.95" customHeight="1">
      <c r="A11" s="186"/>
      <c r="B11" s="192"/>
      <c r="C11" s="193"/>
      <c r="D11" s="194"/>
      <c r="F11" s="158" t="s">
        <v>1120</v>
      </c>
      <c r="G11" s="158" t="s">
        <v>1121</v>
      </c>
      <c r="H11" s="2" t="s">
        <v>934</v>
      </c>
      <c r="I11" s="2" t="s">
        <v>968</v>
      </c>
    </row>
    <row r="12" spans="1:9" ht="18.95" customHeight="1">
      <c r="A12" s="186"/>
      <c r="B12" s="192"/>
      <c r="C12" s="193"/>
      <c r="D12" s="194"/>
      <c r="H12" s="2" t="s">
        <v>931</v>
      </c>
      <c r="I12" s="2" t="s">
        <v>969</v>
      </c>
    </row>
    <row r="13" spans="1:9" ht="27" customHeight="1">
      <c r="A13" s="16" t="s">
        <v>909</v>
      </c>
      <c r="B13" s="177" t="s">
        <v>1102</v>
      </c>
      <c r="C13" s="177"/>
      <c r="D13" s="177"/>
      <c r="H13" s="2" t="s">
        <v>951</v>
      </c>
      <c r="I13" s="2" t="s">
        <v>970</v>
      </c>
    </row>
    <row r="14" spans="1:9" ht="27" customHeight="1">
      <c r="A14" s="20" t="s">
        <v>910</v>
      </c>
      <c r="B14" s="195" t="s">
        <v>1098</v>
      </c>
      <c r="C14" s="196"/>
      <c r="D14" s="196"/>
      <c r="F14" s="130" t="b">
        <v>0</v>
      </c>
      <c r="G14" s="130" t="str">
        <f>IF(F14,"A","")</f>
        <v/>
      </c>
      <c r="H14" s="2" t="s">
        <v>952</v>
      </c>
      <c r="I14" s="2" t="s">
        <v>971</v>
      </c>
    </row>
    <row r="15" spans="1:9" ht="27" customHeight="1">
      <c r="A15" s="22" t="s">
        <v>915</v>
      </c>
      <c r="B15" s="24" t="s">
        <v>916</v>
      </c>
      <c r="C15" s="177">
        <v>11.145659999999999</v>
      </c>
      <c r="D15" s="177"/>
      <c r="F15" s="130" t="b">
        <v>0</v>
      </c>
      <c r="G15" s="130" t="str">
        <f>IF(F15,"B","")</f>
        <v/>
      </c>
      <c r="H15" s="2" t="s">
        <v>953</v>
      </c>
      <c r="I15" s="2" t="s">
        <v>972</v>
      </c>
    </row>
    <row r="16" spans="1:9" ht="27" customHeight="1">
      <c r="A16" s="21"/>
      <c r="B16" s="25" t="s">
        <v>917</v>
      </c>
      <c r="C16" s="177">
        <v>47.7864</v>
      </c>
      <c r="D16" s="177"/>
      <c r="F16" s="130" t="b">
        <v>0</v>
      </c>
      <c r="G16" s="130" t="str">
        <f>IF(F16,"C","")</f>
        <v/>
      </c>
      <c r="H16" s="2" t="s">
        <v>957</v>
      </c>
      <c r="I16" s="2" t="s">
        <v>973</v>
      </c>
    </row>
    <row r="17" spans="1:9" ht="27" customHeight="1">
      <c r="A17" s="21" t="s">
        <v>924</v>
      </c>
      <c r="B17" s="19"/>
      <c r="C17" s="177">
        <v>653</v>
      </c>
      <c r="D17" s="177"/>
      <c r="F17" s="130" t="b">
        <v>0</v>
      </c>
      <c r="G17" s="130" t="str">
        <f>IF(F17,"D","")</f>
        <v/>
      </c>
      <c r="H17" s="2" t="s">
        <v>950</v>
      </c>
      <c r="I17" s="2" t="s">
        <v>974</v>
      </c>
    </row>
    <row r="18" spans="1:9" ht="27" customHeight="1">
      <c r="A18" s="184"/>
      <c r="B18" s="184"/>
      <c r="C18" s="184"/>
      <c r="D18" s="184"/>
      <c r="F18" s="130" t="b">
        <v>0</v>
      </c>
      <c r="G18" s="131" t="str">
        <f>IF(F18,"EC","")</f>
        <v/>
      </c>
      <c r="H18" s="2" t="s">
        <v>954</v>
      </c>
      <c r="I18" s="2" t="s">
        <v>975</v>
      </c>
    </row>
    <row r="19" spans="1:9" ht="27" customHeight="1">
      <c r="A19" s="11" t="s">
        <v>918</v>
      </c>
      <c r="B19" s="11" t="s">
        <v>0</v>
      </c>
      <c r="C19" s="11" t="s">
        <v>11</v>
      </c>
      <c r="D19" s="11" t="s">
        <v>919</v>
      </c>
      <c r="F19" s="130" t="b">
        <v>0</v>
      </c>
      <c r="G19" s="130" t="str">
        <f>IF(F19,"G","")</f>
        <v/>
      </c>
      <c r="H19" s="2" t="s">
        <v>949</v>
      </c>
      <c r="I19" s="2" t="s">
        <v>955</v>
      </c>
    </row>
    <row r="20" spans="1:9" ht="27" customHeight="1">
      <c r="A20" s="16" t="s">
        <v>920</v>
      </c>
      <c r="B20" s="135" t="s">
        <v>1099</v>
      </c>
      <c r="C20" s="138" t="s">
        <v>1100</v>
      </c>
      <c r="D20" s="135" t="s">
        <v>1101</v>
      </c>
      <c r="F20" s="130" t="b">
        <v>0</v>
      </c>
      <c r="G20" s="130" t="str">
        <f>IF(F20,"I","")</f>
        <v/>
      </c>
      <c r="H20" s="2" t="s">
        <v>947</v>
      </c>
      <c r="I20" s="2" t="s">
        <v>976</v>
      </c>
    </row>
    <row r="21" spans="1:9" ht="27" customHeight="1">
      <c r="A21" s="16" t="s">
        <v>1001</v>
      </c>
      <c r="B21" s="135" t="s">
        <v>1099</v>
      </c>
      <c r="C21" s="138" t="s">
        <v>1100</v>
      </c>
      <c r="D21" s="135" t="s">
        <v>1101</v>
      </c>
      <c r="F21" s="130" t="b">
        <v>1</v>
      </c>
      <c r="G21" s="130" t="str">
        <f>IF(F21,"K","")</f>
        <v>K</v>
      </c>
      <c r="H21" s="2" t="s">
        <v>935</v>
      </c>
      <c r="I21" s="2" t="s">
        <v>977</v>
      </c>
    </row>
    <row r="22" spans="1:9" ht="27" customHeight="1">
      <c r="A22" s="16" t="s">
        <v>921</v>
      </c>
      <c r="B22" s="135" t="s">
        <v>1099</v>
      </c>
      <c r="C22" s="138" t="s">
        <v>1100</v>
      </c>
      <c r="D22" s="135" t="s">
        <v>1101</v>
      </c>
      <c r="F22" s="130" t="b">
        <v>0</v>
      </c>
      <c r="G22" s="130" t="str">
        <f>IF(F22,"L","")</f>
        <v/>
      </c>
      <c r="H22" s="2" t="s">
        <v>940</v>
      </c>
    </row>
    <row r="23" spans="1:9" ht="27" customHeight="1">
      <c r="A23" s="16" t="s">
        <v>922</v>
      </c>
      <c r="B23" s="135" t="s">
        <v>1099</v>
      </c>
      <c r="C23" s="138" t="s">
        <v>1100</v>
      </c>
      <c r="D23" s="135" t="s">
        <v>1101</v>
      </c>
      <c r="F23" s="130" t="b">
        <v>0</v>
      </c>
      <c r="G23" s="130" t="str">
        <f>IF(F24,"R","")</f>
        <v/>
      </c>
      <c r="H23" s="2" t="s">
        <v>937</v>
      </c>
    </row>
    <row r="24" spans="1:9" ht="27" customHeight="1">
      <c r="A24" s="16" t="s">
        <v>923</v>
      </c>
      <c r="B24" s="135" t="s">
        <v>1131</v>
      </c>
      <c r="C24" s="138" t="s">
        <v>1130</v>
      </c>
      <c r="D24" s="135" t="s">
        <v>1101</v>
      </c>
      <c r="F24" s="130" t="b">
        <v>0</v>
      </c>
      <c r="G24" s="130" t="str">
        <f>IF(F24,"SE","")</f>
        <v/>
      </c>
      <c r="H24" s="2" t="s">
        <v>939</v>
      </c>
    </row>
    <row r="25" spans="1:9" ht="27" customHeight="1">
      <c r="A25" s="184"/>
      <c r="B25" s="184"/>
      <c r="C25" s="184"/>
      <c r="D25" s="184"/>
      <c r="F25" s="130" t="b">
        <v>0</v>
      </c>
      <c r="G25" s="131" t="str">
        <f>IF(F25,"SR","")</f>
        <v/>
      </c>
      <c r="H25" s="2" t="s">
        <v>936</v>
      </c>
    </row>
    <row r="26" spans="1:9" ht="27" customHeight="1">
      <c r="A26" s="11" t="s">
        <v>959</v>
      </c>
      <c r="B26" s="2"/>
      <c r="C26" s="2"/>
      <c r="D26" s="2"/>
      <c r="F26" s="130" t="b">
        <v>0</v>
      </c>
      <c r="G26" s="131" t="str">
        <f>IF(F26,"W","")</f>
        <v/>
      </c>
      <c r="H26" s="2" t="s">
        <v>938</v>
      </c>
    </row>
    <row r="27" spans="1:9" ht="27" customHeight="1">
      <c r="A27" s="185" t="s">
        <v>1002</v>
      </c>
      <c r="B27" s="179" t="s">
        <v>977</v>
      </c>
      <c r="C27" s="179"/>
      <c r="D27" s="179"/>
      <c r="F27" s="130" t="b">
        <v>0</v>
      </c>
      <c r="G27" s="131" t="str">
        <f>IF(F27,"Y","")</f>
        <v/>
      </c>
      <c r="H27" s="2" t="s">
        <v>941</v>
      </c>
    </row>
    <row r="28" spans="1:9" ht="27" customHeight="1">
      <c r="A28" s="186"/>
      <c r="B28" s="179"/>
      <c r="C28" s="179"/>
      <c r="D28" s="179"/>
      <c r="H28" s="2" t="s">
        <v>946</v>
      </c>
    </row>
    <row r="29" spans="1:9" ht="27" customHeight="1">
      <c r="A29" s="186"/>
      <c r="B29" s="179"/>
      <c r="C29" s="179"/>
      <c r="D29" s="179"/>
      <c r="G29" s="15" t="str">
        <f>CONCATENATE(G14,G15,G16,G17,G18,G19,G20,G21,G22,G23,G24,G25,G26,G27)</f>
        <v>K</v>
      </c>
      <c r="H29" s="2" t="s">
        <v>945</v>
      </c>
    </row>
    <row r="30" spans="1:9" ht="27" customHeight="1">
      <c r="A30" s="186"/>
      <c r="B30" s="179"/>
      <c r="C30" s="179"/>
      <c r="D30" s="179"/>
      <c r="H30" s="2" t="s">
        <v>943</v>
      </c>
    </row>
    <row r="31" spans="1:9" ht="27" customHeight="1">
      <c r="A31" s="187"/>
      <c r="B31" s="179"/>
      <c r="C31" s="179"/>
      <c r="D31" s="179"/>
      <c r="H31" s="2" t="s">
        <v>942</v>
      </c>
    </row>
    <row r="32" spans="1:9" ht="27" customHeight="1">
      <c r="A32" s="185" t="s">
        <v>978</v>
      </c>
      <c r="B32" s="179" t="s">
        <v>933</v>
      </c>
      <c r="C32" s="179"/>
      <c r="D32" s="179"/>
      <c r="G32" s="15"/>
      <c r="H32" s="2" t="s">
        <v>944</v>
      </c>
    </row>
    <row r="33" spans="1:8" ht="27" customHeight="1">
      <c r="A33" s="186"/>
      <c r="B33" s="179" t="s">
        <v>927</v>
      </c>
      <c r="C33" s="179"/>
      <c r="D33" s="179"/>
      <c r="G33" s="15"/>
      <c r="H33" s="2" t="s">
        <v>948</v>
      </c>
    </row>
    <row r="34" spans="1:8" ht="27" customHeight="1">
      <c r="A34" s="186"/>
      <c r="B34" s="179" t="s">
        <v>931</v>
      </c>
      <c r="C34" s="179"/>
      <c r="D34" s="179"/>
      <c r="G34" s="15"/>
      <c r="H34" s="2" t="s">
        <v>955</v>
      </c>
    </row>
    <row r="35" spans="1:8" ht="27" customHeight="1">
      <c r="A35" s="186"/>
      <c r="B35" s="179" t="s">
        <v>926</v>
      </c>
      <c r="C35" s="179"/>
      <c r="D35" s="179"/>
      <c r="G35" s="15"/>
      <c r="H35" s="2" t="s">
        <v>956</v>
      </c>
    </row>
    <row r="36" spans="1:8" ht="27" customHeight="1">
      <c r="A36" s="186"/>
      <c r="B36" s="179" t="s">
        <v>952</v>
      </c>
      <c r="C36" s="179"/>
      <c r="D36" s="179"/>
      <c r="G36" s="15"/>
    </row>
    <row r="37" spans="1:8" ht="27" customHeight="1">
      <c r="A37" s="187"/>
      <c r="B37" s="188" t="s">
        <v>1064</v>
      </c>
      <c r="C37" s="179"/>
      <c r="D37" s="179"/>
    </row>
    <row r="38" spans="1:8" ht="27" customHeight="1">
      <c r="A38" s="23"/>
      <c r="B38" s="178"/>
      <c r="C38" s="178"/>
      <c r="D38" s="178"/>
    </row>
    <row r="39" spans="1:8" ht="27" customHeight="1">
      <c r="A39" s="14"/>
      <c r="B39" s="14"/>
      <c r="C39" s="14"/>
      <c r="D39" s="14"/>
      <c r="G39" s="15"/>
    </row>
    <row r="40" spans="1:8" ht="27" customHeight="1">
      <c r="A40" s="14"/>
      <c r="B40" s="14"/>
      <c r="C40" s="14"/>
      <c r="D40" s="14"/>
      <c r="G40" s="15"/>
    </row>
    <row r="41" spans="1:8" ht="27" customHeight="1">
      <c r="A41" s="14"/>
      <c r="B41" s="14"/>
      <c r="C41" s="14"/>
      <c r="D41" s="14"/>
      <c r="G41" s="15"/>
    </row>
    <row r="42" spans="1:8" ht="27" customHeight="1">
      <c r="A42" s="14"/>
      <c r="B42" s="14"/>
      <c r="C42" s="14"/>
      <c r="D42" s="14"/>
      <c r="G42" s="15"/>
    </row>
    <row r="43" spans="1:8" ht="27" customHeight="1">
      <c r="A43" s="14"/>
      <c r="B43" s="14"/>
      <c r="C43" s="14"/>
      <c r="D43" s="14"/>
      <c r="G43" s="15"/>
    </row>
    <row r="44" spans="1:8" ht="26.1" customHeight="1">
      <c r="A44" s="14"/>
      <c r="B44" s="14"/>
      <c r="C44" s="14"/>
      <c r="D44" s="14"/>
      <c r="G44" s="15"/>
    </row>
    <row r="45" spans="1:8" ht="26.1" customHeight="1">
      <c r="A45" s="14"/>
      <c r="B45" s="14"/>
      <c r="C45" s="14"/>
      <c r="D45" s="14"/>
      <c r="G45" s="15"/>
    </row>
    <row r="46" spans="1:8" ht="26.1" customHeight="1">
      <c r="A46" s="14"/>
      <c r="B46" s="14"/>
      <c r="C46" s="14"/>
      <c r="D46" s="14"/>
      <c r="G46" s="15"/>
    </row>
    <row r="47" spans="1:8" ht="26.1" customHeight="1">
      <c r="A47" s="14"/>
      <c r="B47" s="14"/>
      <c r="C47" s="14"/>
      <c r="D47" s="14"/>
      <c r="G47" s="15"/>
    </row>
    <row r="48" spans="1:8" ht="26.1" customHeight="1">
      <c r="A48" s="14"/>
      <c r="B48" s="14"/>
      <c r="C48" s="14"/>
      <c r="D48" s="14"/>
      <c r="G48" s="15"/>
    </row>
    <row r="49" spans="1:7" ht="26.1" customHeight="1">
      <c r="A49" s="14"/>
      <c r="B49" s="14"/>
      <c r="C49" s="14"/>
      <c r="D49" s="14"/>
      <c r="G49" s="15"/>
    </row>
    <row r="50" spans="1:7">
      <c r="A50" s="14"/>
      <c r="B50" s="14"/>
      <c r="C50" s="14"/>
      <c r="D50" s="14"/>
      <c r="G50" s="15"/>
    </row>
    <row r="51" spans="1:7">
      <c r="A51" s="14"/>
      <c r="B51" s="14"/>
      <c r="C51" s="14"/>
      <c r="D51" s="14"/>
    </row>
    <row r="52" spans="1:7">
      <c r="A52" s="14"/>
      <c r="B52" s="14"/>
      <c r="C52" s="14"/>
      <c r="D52" s="14"/>
    </row>
    <row r="53" spans="1:7">
      <c r="A53" s="14"/>
      <c r="B53" s="14"/>
      <c r="C53" s="14"/>
      <c r="D53" s="14"/>
    </row>
    <row r="54" spans="1:7">
      <c r="A54" s="14"/>
      <c r="B54" s="14"/>
      <c r="C54" s="14"/>
      <c r="D54" s="14"/>
    </row>
    <row r="55" spans="1:7">
      <c r="A55" s="14"/>
      <c r="B55" s="14"/>
      <c r="C55" s="14"/>
      <c r="D55" s="14"/>
    </row>
    <row r="56" spans="1:7">
      <c r="A56" s="14"/>
      <c r="B56" s="14"/>
      <c r="C56" s="14"/>
      <c r="D56" s="14"/>
    </row>
    <row r="57" spans="1:7">
      <c r="A57" s="14"/>
      <c r="B57" s="14"/>
      <c r="C57" s="14"/>
      <c r="D57" s="14"/>
    </row>
    <row r="58" spans="1:7">
      <c r="A58" s="14"/>
      <c r="B58" s="14"/>
      <c r="C58" s="14"/>
      <c r="D58" s="14"/>
    </row>
    <row r="59" spans="1:7">
      <c r="A59" s="14"/>
      <c r="B59" s="14"/>
      <c r="C59" s="14"/>
      <c r="D59" s="14"/>
    </row>
    <row r="60" spans="1:7">
      <c r="A60" s="14"/>
      <c r="B60" s="14"/>
      <c r="C60" s="14"/>
      <c r="D60" s="14"/>
    </row>
    <row r="61" spans="1:7">
      <c r="A61" s="14"/>
      <c r="B61" s="14"/>
      <c r="C61" s="14"/>
      <c r="D61" s="14"/>
    </row>
    <row r="62" spans="1:7">
      <c r="A62" s="14"/>
      <c r="B62" s="14"/>
      <c r="C62" s="14"/>
      <c r="D62" s="14"/>
    </row>
    <row r="63" spans="1:7">
      <c r="A63" s="14"/>
      <c r="B63" s="14"/>
      <c r="C63" s="14"/>
      <c r="D63" s="14"/>
    </row>
    <row r="64" spans="1:7">
      <c r="A64" s="14"/>
      <c r="B64" s="14"/>
      <c r="C64" s="14"/>
      <c r="D64" s="14"/>
    </row>
    <row r="65" spans="1:4">
      <c r="A65" s="14"/>
      <c r="B65" s="14"/>
      <c r="C65" s="14"/>
      <c r="D65" s="14"/>
    </row>
    <row r="66" spans="1:4">
      <c r="A66" s="14"/>
      <c r="B66" s="14"/>
      <c r="C66" s="14"/>
      <c r="D66" s="14"/>
    </row>
    <row r="67" spans="1:4">
      <c r="A67" s="14"/>
      <c r="B67" s="14"/>
      <c r="C67" s="14"/>
      <c r="D67" s="14"/>
    </row>
    <row r="68" spans="1:4">
      <c r="A68" s="14"/>
      <c r="B68" s="14"/>
      <c r="C68" s="14"/>
      <c r="D68" s="14"/>
    </row>
    <row r="69" spans="1:4">
      <c r="A69" s="14"/>
      <c r="B69" s="14"/>
      <c r="C69" s="14"/>
      <c r="D69" s="14"/>
    </row>
    <row r="70" spans="1:4">
      <c r="A70" s="14"/>
      <c r="B70" s="14"/>
      <c r="C70" s="14"/>
      <c r="D70" s="14"/>
    </row>
    <row r="71" spans="1:4">
      <c r="A71" s="14"/>
      <c r="B71" s="14"/>
      <c r="C71" s="14"/>
      <c r="D71" s="14"/>
    </row>
    <row r="72" spans="1:4">
      <c r="A72" s="14"/>
      <c r="B72" s="14"/>
      <c r="C72" s="14"/>
      <c r="D72" s="14"/>
    </row>
    <row r="73" spans="1:4">
      <c r="A73" s="14"/>
      <c r="B73" s="14"/>
      <c r="C73" s="14"/>
      <c r="D73" s="14"/>
    </row>
    <row r="74" spans="1:4">
      <c r="A74" s="14"/>
      <c r="B74" s="14"/>
      <c r="C74" s="14"/>
      <c r="D74" s="14"/>
    </row>
    <row r="75" spans="1:4">
      <c r="A75" s="14"/>
      <c r="B75" s="14"/>
      <c r="C75" s="14"/>
      <c r="D75" s="14"/>
    </row>
    <row r="76" spans="1:4">
      <c r="A76" s="14"/>
      <c r="B76" s="14"/>
      <c r="C76" s="14"/>
      <c r="D76" s="14"/>
    </row>
    <row r="77" spans="1:4">
      <c r="A77" s="14"/>
      <c r="B77" s="14"/>
      <c r="C77" s="14"/>
      <c r="D77" s="14"/>
    </row>
    <row r="78" spans="1:4">
      <c r="A78" s="14"/>
      <c r="B78" s="14"/>
      <c r="C78" s="14"/>
      <c r="D78" s="14"/>
    </row>
    <row r="79" spans="1:4">
      <c r="A79" s="14"/>
      <c r="B79" s="14"/>
      <c r="C79" s="14"/>
      <c r="D79" s="14"/>
    </row>
    <row r="80" spans="1:4">
      <c r="A80" s="14"/>
      <c r="B80" s="14"/>
      <c r="C80" s="14"/>
      <c r="D80" s="14"/>
    </row>
    <row r="81" spans="1:4">
      <c r="A81" s="14"/>
      <c r="B81" s="14"/>
      <c r="C81" s="14"/>
      <c r="D81" s="14"/>
    </row>
    <row r="82" spans="1:4">
      <c r="A82" s="14"/>
      <c r="B82" s="14"/>
      <c r="C82" s="14"/>
      <c r="D82" s="14"/>
    </row>
    <row r="83" spans="1:4">
      <c r="A83" s="14"/>
      <c r="B83" s="14"/>
      <c r="C83" s="14"/>
      <c r="D83" s="14"/>
    </row>
    <row r="84" spans="1:4">
      <c r="A84" s="14"/>
      <c r="B84" s="14"/>
      <c r="C84" s="14"/>
      <c r="D84" s="14"/>
    </row>
    <row r="85" spans="1:4">
      <c r="A85" s="14"/>
      <c r="B85" s="14"/>
      <c r="C85" s="14"/>
      <c r="D85" s="14"/>
    </row>
    <row r="86" spans="1:4">
      <c r="A86" s="14"/>
      <c r="B86" s="14"/>
      <c r="C86" s="14"/>
      <c r="D86" s="14"/>
    </row>
    <row r="87" spans="1:4">
      <c r="A87" s="14"/>
      <c r="B87" s="14"/>
      <c r="C87" s="14"/>
      <c r="D87" s="14"/>
    </row>
    <row r="88" spans="1:4">
      <c r="A88" s="14"/>
      <c r="B88" s="14"/>
      <c r="C88" s="14"/>
      <c r="D88" s="14"/>
    </row>
    <row r="89" spans="1:4">
      <c r="A89" s="14"/>
      <c r="B89" s="14"/>
      <c r="C89" s="14"/>
      <c r="D89" s="14"/>
    </row>
    <row r="90" spans="1:4">
      <c r="A90" s="14"/>
      <c r="B90" s="14"/>
      <c r="C90" s="14"/>
      <c r="D90" s="14"/>
    </row>
    <row r="91" spans="1:4">
      <c r="A91" s="14"/>
      <c r="B91" s="14"/>
      <c r="C91" s="14"/>
      <c r="D91" s="14"/>
    </row>
    <row r="92" spans="1:4">
      <c r="A92" s="14"/>
      <c r="B92" s="14"/>
      <c r="C92" s="14"/>
      <c r="D92" s="14"/>
    </row>
    <row r="93" spans="1:4">
      <c r="A93" s="14"/>
      <c r="B93" s="14"/>
      <c r="C93" s="14"/>
      <c r="D93" s="14"/>
    </row>
    <row r="94" spans="1:4">
      <c r="A94" s="14"/>
      <c r="B94" s="14"/>
      <c r="C94" s="14"/>
      <c r="D94" s="14"/>
    </row>
    <row r="95" spans="1:4">
      <c r="A95" s="14"/>
      <c r="B95" s="14"/>
      <c r="C95" s="14"/>
      <c r="D95" s="14"/>
    </row>
    <row r="96" spans="1:4">
      <c r="A96" s="14"/>
      <c r="B96" s="14"/>
      <c r="C96" s="14"/>
      <c r="D96" s="14"/>
    </row>
    <row r="97" spans="1:4">
      <c r="A97" s="14"/>
      <c r="B97" s="14"/>
      <c r="C97" s="14"/>
      <c r="D97" s="14"/>
    </row>
    <row r="98" spans="1:4">
      <c r="A98" s="14"/>
      <c r="B98" s="14"/>
      <c r="C98" s="14"/>
      <c r="D98" s="14"/>
    </row>
    <row r="99" spans="1:4">
      <c r="A99" s="14"/>
      <c r="B99" s="14"/>
      <c r="C99" s="14"/>
      <c r="D99" s="14"/>
    </row>
    <row r="100" spans="1:4">
      <c r="A100" s="14"/>
      <c r="B100" s="14"/>
      <c r="C100" s="14"/>
      <c r="D100" s="14"/>
    </row>
    <row r="101" spans="1:4">
      <c r="A101" s="14"/>
      <c r="B101" s="14"/>
      <c r="C101" s="14"/>
      <c r="D101" s="14"/>
    </row>
    <row r="102" spans="1:4">
      <c r="A102" s="14"/>
      <c r="B102" s="14"/>
      <c r="C102" s="14"/>
      <c r="D102" s="14"/>
    </row>
    <row r="103" spans="1:4">
      <c r="A103" s="14"/>
      <c r="B103" s="14"/>
      <c r="C103" s="14"/>
      <c r="D103" s="14"/>
    </row>
    <row r="104" spans="1:4">
      <c r="A104" s="14"/>
      <c r="B104" s="14"/>
      <c r="C104" s="14"/>
      <c r="D104" s="14"/>
    </row>
    <row r="105" spans="1:4">
      <c r="A105" s="14"/>
      <c r="B105" s="14"/>
      <c r="C105" s="14"/>
      <c r="D105" s="14"/>
    </row>
    <row r="106" spans="1:4">
      <c r="A106" s="14"/>
      <c r="B106" s="14"/>
      <c r="C106" s="14"/>
      <c r="D106" s="14"/>
    </row>
    <row r="107" spans="1:4">
      <c r="A107" s="14"/>
      <c r="B107" s="14"/>
      <c r="C107" s="14"/>
      <c r="D107" s="14"/>
    </row>
    <row r="108" spans="1:4">
      <c r="A108" s="14"/>
      <c r="B108" s="14"/>
      <c r="C108" s="14"/>
      <c r="D108" s="14"/>
    </row>
    <row r="109" spans="1:4">
      <c r="A109" s="14"/>
      <c r="B109" s="14"/>
      <c r="C109" s="14"/>
      <c r="D109" s="14"/>
    </row>
    <row r="110" spans="1:4">
      <c r="A110" s="14"/>
      <c r="B110" s="14"/>
      <c r="C110" s="14"/>
      <c r="D110" s="14"/>
    </row>
    <row r="111" spans="1:4">
      <c r="A111" s="14"/>
      <c r="B111" s="14"/>
      <c r="C111" s="14"/>
      <c r="D111" s="14"/>
    </row>
    <row r="112" spans="1:4">
      <c r="A112" s="14"/>
      <c r="B112" s="14"/>
      <c r="C112" s="14"/>
      <c r="D112" s="14"/>
    </row>
    <row r="113" spans="1:4">
      <c r="A113" s="14"/>
      <c r="B113" s="14"/>
      <c r="C113" s="14"/>
      <c r="D113" s="14"/>
    </row>
    <row r="114" spans="1:4">
      <c r="A114" s="14"/>
      <c r="B114" s="14"/>
      <c r="C114" s="14"/>
      <c r="D114" s="14"/>
    </row>
    <row r="115" spans="1:4">
      <c r="A115" s="14"/>
      <c r="B115" s="14"/>
      <c r="C115" s="14"/>
      <c r="D115" s="14"/>
    </row>
    <row r="116" spans="1:4">
      <c r="A116" s="14"/>
      <c r="B116" s="14"/>
      <c r="C116" s="14"/>
      <c r="D116" s="14"/>
    </row>
    <row r="117" spans="1:4">
      <c r="A117" s="14"/>
      <c r="B117" s="14"/>
      <c r="C117" s="14"/>
      <c r="D117" s="14"/>
    </row>
    <row r="118" spans="1:4">
      <c r="A118" s="14"/>
      <c r="B118" s="14"/>
      <c r="C118" s="14"/>
      <c r="D118" s="14"/>
    </row>
    <row r="119" spans="1:4">
      <c r="A119" s="14"/>
      <c r="B119" s="14"/>
      <c r="C119" s="14"/>
      <c r="D119" s="14"/>
    </row>
    <row r="120" spans="1:4">
      <c r="A120" s="14"/>
      <c r="B120" s="14"/>
      <c r="C120" s="14"/>
      <c r="D120" s="14"/>
    </row>
    <row r="121" spans="1:4">
      <c r="A121" s="14"/>
      <c r="B121" s="14"/>
      <c r="C121" s="14"/>
      <c r="D121" s="14"/>
    </row>
    <row r="122" spans="1:4">
      <c r="A122" s="14"/>
      <c r="B122" s="14"/>
      <c r="C122" s="14"/>
      <c r="D122" s="14"/>
    </row>
    <row r="123" spans="1:4">
      <c r="A123" s="14"/>
      <c r="B123" s="14"/>
      <c r="C123" s="14"/>
      <c r="D123" s="14"/>
    </row>
    <row r="124" spans="1:4">
      <c r="A124" s="14"/>
      <c r="B124" s="14"/>
      <c r="C124" s="14"/>
      <c r="D124" s="14"/>
    </row>
    <row r="125" spans="1:4">
      <c r="A125" s="14"/>
      <c r="B125" s="14"/>
      <c r="C125" s="14"/>
      <c r="D125" s="14"/>
    </row>
    <row r="126" spans="1:4">
      <c r="A126" s="14"/>
      <c r="B126" s="14"/>
      <c r="C126" s="14"/>
      <c r="D126" s="14"/>
    </row>
    <row r="127" spans="1:4">
      <c r="A127" s="14"/>
      <c r="B127" s="14"/>
      <c r="C127" s="14"/>
      <c r="D127" s="14"/>
    </row>
    <row r="128" spans="1:4">
      <c r="A128" s="14"/>
      <c r="B128" s="14"/>
      <c r="C128" s="14"/>
      <c r="D128" s="14"/>
    </row>
    <row r="129" spans="1:4">
      <c r="A129" s="14"/>
      <c r="B129" s="14"/>
      <c r="C129" s="14"/>
      <c r="D129" s="14"/>
    </row>
    <row r="130" spans="1:4">
      <c r="A130" s="14"/>
      <c r="B130" s="14"/>
      <c r="C130" s="14"/>
      <c r="D130" s="14"/>
    </row>
    <row r="131" spans="1:4">
      <c r="A131" s="14"/>
      <c r="B131" s="14"/>
      <c r="C131" s="14"/>
      <c r="D131" s="14"/>
    </row>
    <row r="132" spans="1:4">
      <c r="A132" s="14"/>
      <c r="B132" s="14"/>
      <c r="C132" s="14"/>
      <c r="D132" s="14"/>
    </row>
    <row r="133" spans="1:4">
      <c r="A133" s="14"/>
      <c r="B133" s="14"/>
      <c r="C133" s="14"/>
      <c r="D133" s="14"/>
    </row>
    <row r="134" spans="1:4">
      <c r="A134" s="14"/>
      <c r="B134" s="14"/>
      <c r="C134" s="14"/>
      <c r="D134" s="14"/>
    </row>
    <row r="135" spans="1:4">
      <c r="A135" s="14"/>
      <c r="B135" s="14"/>
      <c r="C135" s="14"/>
      <c r="D135" s="14"/>
    </row>
    <row r="136" spans="1:4">
      <c r="A136" s="14"/>
      <c r="B136" s="14"/>
      <c r="C136" s="14"/>
      <c r="D136" s="14"/>
    </row>
    <row r="137" spans="1:4">
      <c r="A137" s="14"/>
      <c r="B137" s="14"/>
      <c r="C137" s="14"/>
      <c r="D137" s="14"/>
    </row>
    <row r="138" spans="1:4">
      <c r="A138" s="14"/>
      <c r="B138" s="14"/>
      <c r="C138" s="14"/>
      <c r="D138" s="14"/>
    </row>
    <row r="139" spans="1:4">
      <c r="A139" s="14"/>
      <c r="B139" s="14"/>
      <c r="C139" s="14"/>
      <c r="D139" s="14"/>
    </row>
    <row r="140" spans="1:4">
      <c r="A140" s="14"/>
      <c r="B140" s="14"/>
      <c r="C140" s="14"/>
      <c r="D140" s="14"/>
    </row>
    <row r="141" spans="1:4">
      <c r="A141" s="14"/>
      <c r="B141" s="14"/>
      <c r="C141" s="14"/>
      <c r="D141" s="14"/>
    </row>
    <row r="142" spans="1:4">
      <c r="A142" s="14"/>
      <c r="B142" s="14"/>
      <c r="C142" s="14"/>
      <c r="D142" s="14"/>
    </row>
    <row r="143" spans="1:4">
      <c r="A143" s="14"/>
      <c r="B143" s="14"/>
      <c r="C143" s="14"/>
      <c r="D143" s="14"/>
    </row>
    <row r="144" spans="1:4">
      <c r="A144" s="14"/>
      <c r="B144" s="14"/>
      <c r="C144" s="14"/>
      <c r="D144" s="14"/>
    </row>
    <row r="145" spans="1:4">
      <c r="A145" s="14"/>
      <c r="B145" s="14"/>
      <c r="C145" s="14"/>
      <c r="D145" s="14"/>
    </row>
    <row r="146" spans="1:4">
      <c r="A146" s="14"/>
      <c r="B146" s="14"/>
      <c r="C146" s="14"/>
      <c r="D146" s="14"/>
    </row>
    <row r="147" spans="1:4">
      <c r="A147" s="14"/>
      <c r="B147" s="14"/>
      <c r="C147" s="14"/>
      <c r="D147" s="14"/>
    </row>
    <row r="148" spans="1:4">
      <c r="A148" s="14"/>
      <c r="B148" s="14"/>
      <c r="C148" s="14"/>
      <c r="D148" s="14"/>
    </row>
    <row r="149" spans="1:4">
      <c r="A149" s="14"/>
      <c r="B149" s="14"/>
      <c r="C149" s="14"/>
      <c r="D149" s="14"/>
    </row>
    <row r="150" spans="1:4">
      <c r="A150" s="14"/>
      <c r="B150" s="14"/>
      <c r="C150" s="14"/>
      <c r="D150" s="14"/>
    </row>
    <row r="151" spans="1:4">
      <c r="A151" s="14"/>
      <c r="B151" s="14"/>
      <c r="C151" s="14"/>
      <c r="D151" s="14"/>
    </row>
    <row r="152" spans="1:4">
      <c r="A152" s="14"/>
      <c r="B152" s="14"/>
      <c r="C152" s="14"/>
      <c r="D152" s="14"/>
    </row>
    <row r="153" spans="1:4">
      <c r="A153" s="14"/>
      <c r="B153" s="14"/>
      <c r="C153" s="14"/>
      <c r="D153" s="14"/>
    </row>
    <row r="154" spans="1:4">
      <c r="A154" s="14"/>
      <c r="B154" s="14"/>
      <c r="C154" s="14"/>
      <c r="D154" s="14"/>
    </row>
    <row r="155" spans="1:4">
      <c r="A155" s="14"/>
      <c r="B155" s="14"/>
      <c r="C155" s="14"/>
      <c r="D155" s="14"/>
    </row>
    <row r="156" spans="1:4">
      <c r="A156" s="14"/>
      <c r="B156" s="14"/>
      <c r="C156" s="14"/>
      <c r="D156" s="14"/>
    </row>
    <row r="157" spans="1:4">
      <c r="A157" s="14"/>
      <c r="B157" s="14"/>
      <c r="C157" s="14"/>
      <c r="D157" s="14"/>
    </row>
    <row r="158" spans="1:4">
      <c r="A158" s="14"/>
      <c r="B158" s="14"/>
      <c r="C158" s="14"/>
      <c r="D158" s="14"/>
    </row>
    <row r="159" spans="1:4">
      <c r="A159" s="14"/>
      <c r="B159" s="14"/>
      <c r="C159" s="14"/>
      <c r="D159" s="14"/>
    </row>
    <row r="160" spans="1:4">
      <c r="A160" s="14"/>
      <c r="B160" s="14"/>
      <c r="C160" s="14"/>
      <c r="D160" s="14"/>
    </row>
    <row r="161" spans="1:4">
      <c r="A161" s="14"/>
      <c r="B161" s="14"/>
      <c r="C161" s="14"/>
      <c r="D161" s="14"/>
    </row>
    <row r="162" spans="1:4">
      <c r="A162" s="14"/>
      <c r="B162" s="14"/>
      <c r="C162" s="14"/>
      <c r="D162" s="14"/>
    </row>
    <row r="163" spans="1:4">
      <c r="A163" s="14"/>
      <c r="B163" s="14"/>
      <c r="C163" s="14"/>
      <c r="D163" s="14"/>
    </row>
    <row r="164" spans="1:4">
      <c r="A164" s="14"/>
      <c r="B164" s="14"/>
      <c r="C164" s="14"/>
      <c r="D164" s="14"/>
    </row>
    <row r="165" spans="1:4">
      <c r="A165" s="14"/>
      <c r="B165" s="14"/>
      <c r="C165" s="14"/>
      <c r="D165" s="14"/>
    </row>
    <row r="166" spans="1:4">
      <c r="A166" s="14"/>
      <c r="B166" s="14"/>
      <c r="C166" s="14"/>
      <c r="D166" s="14"/>
    </row>
    <row r="167" spans="1:4">
      <c r="A167" s="14"/>
      <c r="B167" s="14"/>
      <c r="C167" s="14"/>
      <c r="D167" s="14"/>
    </row>
    <row r="168" spans="1:4">
      <c r="A168" s="14"/>
      <c r="B168" s="14"/>
      <c r="C168" s="14"/>
      <c r="D168" s="14"/>
    </row>
    <row r="169" spans="1:4">
      <c r="A169" s="14"/>
      <c r="B169" s="14"/>
      <c r="C169" s="14"/>
      <c r="D169" s="14"/>
    </row>
    <row r="170" spans="1:4">
      <c r="A170" s="14"/>
      <c r="B170" s="14"/>
      <c r="C170" s="14"/>
      <c r="D170" s="14"/>
    </row>
    <row r="171" spans="1:4">
      <c r="A171" s="14"/>
      <c r="B171" s="14"/>
      <c r="C171" s="14"/>
      <c r="D171" s="14"/>
    </row>
    <row r="172" spans="1:4">
      <c r="A172" s="14"/>
      <c r="B172" s="14"/>
      <c r="C172" s="14"/>
      <c r="D172" s="14"/>
    </row>
    <row r="173" spans="1:4">
      <c r="A173" s="14"/>
      <c r="B173" s="14"/>
      <c r="C173" s="14"/>
      <c r="D173" s="14"/>
    </row>
    <row r="174" spans="1:4">
      <c r="A174" s="14"/>
      <c r="B174" s="14"/>
      <c r="C174" s="14"/>
      <c r="D174" s="14"/>
    </row>
    <row r="175" spans="1:4">
      <c r="A175" s="14"/>
      <c r="B175" s="14"/>
      <c r="C175" s="14"/>
      <c r="D175" s="14"/>
    </row>
    <row r="176" spans="1:4">
      <c r="A176" s="14"/>
      <c r="B176" s="14"/>
      <c r="C176" s="14"/>
      <c r="D176" s="14"/>
    </row>
    <row r="177" spans="1:4">
      <c r="A177" s="14"/>
      <c r="B177" s="14"/>
      <c r="C177" s="14"/>
      <c r="D177" s="14"/>
    </row>
    <row r="178" spans="1:4">
      <c r="A178" s="14"/>
      <c r="B178" s="14"/>
      <c r="C178" s="14"/>
      <c r="D178" s="14"/>
    </row>
    <row r="179" spans="1:4">
      <c r="A179" s="14"/>
      <c r="B179" s="14"/>
      <c r="C179" s="14"/>
      <c r="D179" s="14"/>
    </row>
    <row r="180" spans="1:4">
      <c r="A180" s="14"/>
      <c r="B180" s="14"/>
      <c r="C180" s="14"/>
      <c r="D180" s="14"/>
    </row>
    <row r="181" spans="1:4">
      <c r="A181" s="14"/>
      <c r="B181" s="14"/>
      <c r="C181" s="14"/>
      <c r="D181" s="14"/>
    </row>
    <row r="182" spans="1:4">
      <c r="A182" s="14"/>
      <c r="B182" s="14"/>
      <c r="C182" s="14"/>
      <c r="D182" s="14"/>
    </row>
    <row r="183" spans="1:4">
      <c r="A183" s="14"/>
      <c r="B183" s="14"/>
      <c r="C183" s="14"/>
      <c r="D183" s="14"/>
    </row>
    <row r="184" spans="1:4">
      <c r="A184" s="14"/>
      <c r="B184" s="14"/>
      <c r="C184" s="14"/>
      <c r="D184" s="14"/>
    </row>
    <row r="185" spans="1:4">
      <c r="A185" s="14"/>
      <c r="B185" s="14"/>
      <c r="C185" s="14"/>
      <c r="D185" s="14"/>
    </row>
    <row r="186" spans="1:4">
      <c r="A186" s="14"/>
      <c r="B186" s="14"/>
      <c r="C186" s="14"/>
      <c r="D186" s="14"/>
    </row>
    <row r="187" spans="1:4">
      <c r="A187" s="14"/>
      <c r="B187" s="14"/>
      <c r="C187" s="14"/>
      <c r="D187" s="14"/>
    </row>
    <row r="188" spans="1:4">
      <c r="A188" s="14"/>
      <c r="B188" s="14"/>
      <c r="C188" s="14"/>
      <c r="D188" s="14"/>
    </row>
    <row r="189" spans="1:4">
      <c r="A189" s="14"/>
      <c r="B189" s="14"/>
      <c r="C189" s="14"/>
      <c r="D189" s="14"/>
    </row>
    <row r="190" spans="1:4">
      <c r="A190" s="14"/>
      <c r="B190" s="14"/>
      <c r="C190" s="14"/>
      <c r="D190" s="14"/>
    </row>
    <row r="191" spans="1:4">
      <c r="A191" s="14"/>
      <c r="B191" s="14"/>
      <c r="C191" s="14"/>
      <c r="D191" s="14"/>
    </row>
    <row r="192" spans="1:4">
      <c r="A192" s="14"/>
      <c r="B192" s="14"/>
      <c r="C192" s="14"/>
      <c r="D192" s="14"/>
    </row>
    <row r="193" spans="1:4">
      <c r="A193" s="14"/>
      <c r="B193" s="14"/>
      <c r="C193" s="14"/>
      <c r="D193" s="14"/>
    </row>
    <row r="194" spans="1:4">
      <c r="A194" s="14"/>
      <c r="B194" s="14"/>
      <c r="C194" s="14"/>
      <c r="D194" s="14"/>
    </row>
    <row r="195" spans="1:4">
      <c r="A195" s="14"/>
      <c r="B195" s="14"/>
      <c r="C195" s="14"/>
      <c r="D195" s="14"/>
    </row>
    <row r="196" spans="1:4">
      <c r="A196" s="14"/>
      <c r="B196" s="14"/>
      <c r="C196" s="14"/>
      <c r="D196" s="14"/>
    </row>
    <row r="197" spans="1:4">
      <c r="A197" s="14"/>
      <c r="B197" s="14"/>
      <c r="C197" s="14"/>
      <c r="D197" s="14"/>
    </row>
    <row r="198" spans="1:4">
      <c r="A198" s="14"/>
      <c r="B198" s="14"/>
      <c r="C198" s="14"/>
      <c r="D198" s="14"/>
    </row>
    <row r="199" spans="1:4">
      <c r="A199" s="14"/>
      <c r="B199" s="14"/>
      <c r="C199" s="14"/>
      <c r="D199" s="14"/>
    </row>
    <row r="200" spans="1:4">
      <c r="A200" s="14"/>
      <c r="B200" s="14"/>
      <c r="C200" s="14"/>
      <c r="D200" s="14"/>
    </row>
    <row r="201" spans="1:4">
      <c r="A201" s="14"/>
      <c r="B201" s="14"/>
      <c r="C201" s="14"/>
      <c r="D201" s="14"/>
    </row>
    <row r="202" spans="1:4">
      <c r="A202" s="14"/>
      <c r="B202" s="14"/>
      <c r="C202" s="14"/>
      <c r="D202" s="14"/>
    </row>
    <row r="203" spans="1:4">
      <c r="A203" s="14"/>
      <c r="B203" s="14"/>
      <c r="C203" s="14"/>
      <c r="D203" s="14"/>
    </row>
    <row r="204" spans="1:4">
      <c r="A204" s="14"/>
      <c r="B204" s="14"/>
      <c r="C204" s="14"/>
      <c r="D204" s="14"/>
    </row>
    <row r="205" spans="1:4">
      <c r="A205" s="14"/>
      <c r="B205" s="14"/>
      <c r="C205" s="14"/>
      <c r="D205" s="14"/>
    </row>
    <row r="206" spans="1:4">
      <c r="A206" s="14"/>
      <c r="B206" s="14"/>
      <c r="C206" s="14"/>
      <c r="D206" s="14"/>
    </row>
    <row r="207" spans="1:4">
      <c r="A207" s="14"/>
      <c r="B207" s="14"/>
      <c r="C207" s="14"/>
      <c r="D207" s="14"/>
    </row>
    <row r="208" spans="1:4">
      <c r="A208" s="14"/>
      <c r="B208" s="14"/>
      <c r="C208" s="14"/>
      <c r="D208" s="14"/>
    </row>
    <row r="209" spans="1:4">
      <c r="A209" s="14"/>
      <c r="B209" s="14"/>
      <c r="C209" s="14"/>
      <c r="D209" s="14"/>
    </row>
    <row r="210" spans="1:4">
      <c r="A210" s="14"/>
      <c r="B210" s="14"/>
      <c r="C210" s="14"/>
      <c r="D210" s="14"/>
    </row>
    <row r="211" spans="1:4">
      <c r="A211" s="14"/>
      <c r="B211" s="14"/>
      <c r="C211" s="14"/>
      <c r="D211" s="14"/>
    </row>
    <row r="212" spans="1:4">
      <c r="A212" s="14"/>
      <c r="B212" s="14"/>
      <c r="C212" s="14"/>
      <c r="D212" s="14"/>
    </row>
    <row r="213" spans="1:4">
      <c r="A213" s="14"/>
      <c r="B213" s="14"/>
      <c r="C213" s="14"/>
      <c r="D213" s="14"/>
    </row>
    <row r="214" spans="1:4">
      <c r="A214" s="14"/>
      <c r="B214" s="14"/>
      <c r="C214" s="14"/>
      <c r="D214" s="14"/>
    </row>
    <row r="215" spans="1:4">
      <c r="A215" s="14"/>
      <c r="B215" s="14"/>
      <c r="C215" s="14"/>
      <c r="D215" s="14"/>
    </row>
    <row r="216" spans="1:4">
      <c r="A216" s="14"/>
      <c r="B216" s="14"/>
      <c r="C216" s="14"/>
      <c r="D216" s="14"/>
    </row>
    <row r="217" spans="1:4">
      <c r="A217" s="14"/>
      <c r="B217" s="14"/>
      <c r="C217" s="14"/>
      <c r="D217" s="14"/>
    </row>
    <row r="218" spans="1:4">
      <c r="A218" s="14"/>
      <c r="B218" s="14"/>
      <c r="C218" s="14"/>
      <c r="D218" s="14"/>
    </row>
    <row r="219" spans="1:4">
      <c r="A219" s="14"/>
      <c r="B219" s="14"/>
      <c r="C219" s="14"/>
      <c r="D219" s="14"/>
    </row>
    <row r="220" spans="1:4">
      <c r="A220" s="14"/>
      <c r="B220" s="14"/>
      <c r="C220" s="14"/>
      <c r="D220" s="14"/>
    </row>
    <row r="221" spans="1:4">
      <c r="A221" s="14"/>
      <c r="B221" s="14"/>
      <c r="C221" s="14"/>
      <c r="D221" s="14"/>
    </row>
    <row r="222" spans="1:4">
      <c r="A222" s="14"/>
      <c r="B222" s="14"/>
      <c r="C222" s="14"/>
      <c r="D222" s="14"/>
    </row>
    <row r="223" spans="1:4">
      <c r="A223" s="14"/>
      <c r="B223" s="14"/>
      <c r="C223" s="14"/>
      <c r="D223" s="14"/>
    </row>
    <row r="224" spans="1:4">
      <c r="A224" s="14"/>
      <c r="B224" s="14"/>
      <c r="C224" s="14"/>
      <c r="D224" s="14"/>
    </row>
    <row r="225" spans="1:4">
      <c r="A225" s="14"/>
      <c r="B225" s="14"/>
      <c r="C225" s="14"/>
      <c r="D225" s="14"/>
    </row>
    <row r="226" spans="1:4">
      <c r="A226" s="14"/>
      <c r="B226" s="14"/>
      <c r="C226" s="14"/>
      <c r="D226" s="14"/>
    </row>
    <row r="227" spans="1:4">
      <c r="A227" s="14"/>
      <c r="B227" s="14"/>
      <c r="C227" s="14"/>
      <c r="D227" s="14"/>
    </row>
    <row r="228" spans="1:4">
      <c r="A228" s="14"/>
      <c r="B228" s="14"/>
      <c r="C228" s="14"/>
      <c r="D228" s="14"/>
    </row>
    <row r="229" spans="1:4">
      <c r="A229" s="14"/>
      <c r="B229" s="14"/>
      <c r="C229" s="14"/>
      <c r="D229" s="14"/>
    </row>
    <row r="230" spans="1:4">
      <c r="A230" s="14"/>
      <c r="B230" s="14"/>
      <c r="C230" s="14"/>
      <c r="D230" s="14"/>
    </row>
    <row r="231" spans="1:4">
      <c r="A231" s="14"/>
      <c r="B231" s="14"/>
      <c r="C231" s="14"/>
      <c r="D231" s="14"/>
    </row>
    <row r="232" spans="1:4">
      <c r="A232" s="14"/>
      <c r="B232" s="14"/>
      <c r="C232" s="14"/>
      <c r="D232" s="14"/>
    </row>
    <row r="233" spans="1:4">
      <c r="A233" s="14"/>
      <c r="B233" s="14"/>
      <c r="C233" s="14"/>
      <c r="D233" s="14"/>
    </row>
    <row r="234" spans="1:4">
      <c r="A234" s="14"/>
      <c r="B234" s="14"/>
      <c r="C234" s="14"/>
      <c r="D234" s="14"/>
    </row>
    <row r="235" spans="1:4">
      <c r="A235" s="14"/>
      <c r="B235" s="14"/>
      <c r="C235" s="14"/>
      <c r="D235" s="14"/>
    </row>
    <row r="236" spans="1:4">
      <c r="A236" s="14"/>
      <c r="B236" s="14"/>
      <c r="C236" s="14"/>
      <c r="D236" s="14"/>
    </row>
    <row r="237" spans="1:4">
      <c r="A237" s="14"/>
      <c r="B237" s="14"/>
      <c r="C237" s="14"/>
      <c r="D237" s="14"/>
    </row>
    <row r="238" spans="1:4">
      <c r="A238" s="14"/>
      <c r="B238" s="14"/>
      <c r="C238" s="14"/>
      <c r="D238" s="14"/>
    </row>
    <row r="239" spans="1:4">
      <c r="A239" s="14"/>
      <c r="B239" s="14"/>
      <c r="C239" s="14"/>
      <c r="D239" s="14"/>
    </row>
    <row r="240" spans="1:4">
      <c r="A240" s="14"/>
      <c r="B240" s="14"/>
      <c r="C240" s="14"/>
      <c r="D240" s="14"/>
    </row>
    <row r="241" spans="1:4">
      <c r="A241" s="14"/>
      <c r="B241" s="14"/>
      <c r="C241" s="14"/>
      <c r="D241" s="14"/>
    </row>
    <row r="242" spans="1:4">
      <c r="A242" s="14"/>
      <c r="B242" s="14"/>
      <c r="C242" s="14"/>
      <c r="D242" s="14"/>
    </row>
    <row r="243" spans="1:4">
      <c r="A243" s="14"/>
      <c r="B243" s="14"/>
      <c r="C243" s="14"/>
      <c r="D243" s="14"/>
    </row>
    <row r="244" spans="1:4">
      <c r="A244" s="14"/>
      <c r="B244" s="14"/>
      <c r="C244" s="14"/>
      <c r="D244" s="14"/>
    </row>
    <row r="245" spans="1:4">
      <c r="A245" s="14"/>
      <c r="B245" s="14"/>
      <c r="C245" s="14"/>
      <c r="D245" s="14"/>
    </row>
    <row r="246" spans="1:4">
      <c r="A246" s="14"/>
      <c r="B246" s="14"/>
      <c r="C246" s="14"/>
      <c r="D246" s="14"/>
    </row>
    <row r="247" spans="1:4">
      <c r="A247" s="14"/>
      <c r="B247" s="14"/>
      <c r="C247" s="14"/>
      <c r="D247" s="14"/>
    </row>
    <row r="248" spans="1:4">
      <c r="A248" s="14"/>
      <c r="B248" s="14"/>
      <c r="C248" s="14"/>
      <c r="D248" s="14"/>
    </row>
    <row r="249" spans="1:4">
      <c r="A249" s="14"/>
      <c r="B249" s="14"/>
      <c r="C249" s="14"/>
      <c r="D249" s="14"/>
    </row>
    <row r="250" spans="1:4">
      <c r="A250" s="14"/>
      <c r="B250" s="14"/>
      <c r="C250" s="14"/>
      <c r="D250" s="14"/>
    </row>
    <row r="251" spans="1:4">
      <c r="A251" s="14"/>
      <c r="B251" s="14"/>
      <c r="C251" s="14"/>
      <c r="D251" s="14"/>
    </row>
    <row r="252" spans="1:4">
      <c r="A252" s="14"/>
      <c r="B252" s="14"/>
      <c r="C252" s="14"/>
      <c r="D252" s="14"/>
    </row>
    <row r="253" spans="1:4">
      <c r="A253" s="14"/>
      <c r="B253" s="14"/>
      <c r="C253" s="14"/>
      <c r="D253" s="14"/>
    </row>
    <row r="254" spans="1:4">
      <c r="A254" s="14"/>
      <c r="B254" s="14"/>
      <c r="C254" s="14"/>
      <c r="D254" s="14"/>
    </row>
    <row r="255" spans="1:4">
      <c r="A255" s="14"/>
      <c r="B255" s="14"/>
      <c r="C255" s="14"/>
      <c r="D255" s="14"/>
    </row>
    <row r="256" spans="1:4">
      <c r="A256" s="14"/>
      <c r="B256" s="14"/>
      <c r="C256" s="14"/>
      <c r="D256" s="14"/>
    </row>
    <row r="257" spans="1:4">
      <c r="A257" s="14"/>
      <c r="B257" s="14"/>
      <c r="C257" s="14"/>
      <c r="D257" s="14"/>
    </row>
    <row r="258" spans="1:4">
      <c r="A258" s="14"/>
      <c r="B258" s="14"/>
      <c r="C258" s="14"/>
      <c r="D258" s="14"/>
    </row>
    <row r="259" spans="1:4">
      <c r="A259" s="14"/>
      <c r="B259" s="14"/>
      <c r="C259" s="14"/>
      <c r="D259" s="14"/>
    </row>
    <row r="260" spans="1:4">
      <c r="A260" s="14"/>
      <c r="B260" s="14"/>
      <c r="C260" s="14"/>
      <c r="D260" s="14"/>
    </row>
    <row r="261" spans="1:4">
      <c r="A261" s="14"/>
      <c r="B261" s="14"/>
      <c r="C261" s="14"/>
      <c r="D261" s="14"/>
    </row>
    <row r="262" spans="1:4">
      <c r="A262" s="14"/>
      <c r="B262" s="14"/>
      <c r="C262" s="14"/>
      <c r="D262" s="14"/>
    </row>
    <row r="263" spans="1:4">
      <c r="A263" s="14"/>
      <c r="B263" s="14"/>
      <c r="C263" s="14"/>
      <c r="D263" s="14"/>
    </row>
    <row r="264" spans="1:4">
      <c r="A264" s="14"/>
      <c r="B264" s="14"/>
      <c r="C264" s="14"/>
      <c r="D264" s="14"/>
    </row>
    <row r="265" spans="1:4">
      <c r="A265" s="14"/>
      <c r="B265" s="14"/>
      <c r="C265" s="14"/>
      <c r="D265" s="14"/>
    </row>
    <row r="266" spans="1:4">
      <c r="A266" s="14"/>
      <c r="B266" s="14"/>
      <c r="C266" s="14"/>
      <c r="D266" s="14"/>
    </row>
    <row r="267" spans="1:4">
      <c r="A267" s="14"/>
      <c r="B267" s="14"/>
      <c r="C267" s="14"/>
      <c r="D267" s="14"/>
    </row>
    <row r="268" spans="1:4">
      <c r="A268" s="14"/>
      <c r="B268" s="14"/>
      <c r="C268" s="14"/>
      <c r="D268" s="14"/>
    </row>
    <row r="269" spans="1:4">
      <c r="A269" s="14"/>
      <c r="B269" s="14"/>
      <c r="C269" s="14"/>
      <c r="D269" s="14"/>
    </row>
    <row r="270" spans="1:4">
      <c r="A270" s="14"/>
      <c r="B270" s="14"/>
      <c r="C270" s="14"/>
      <c r="D270" s="14"/>
    </row>
    <row r="271" spans="1:4">
      <c r="A271" s="14"/>
      <c r="B271" s="14"/>
      <c r="C271" s="14"/>
      <c r="D271" s="14"/>
    </row>
    <row r="272" spans="1:4">
      <c r="A272" s="14"/>
      <c r="B272" s="14"/>
      <c r="C272" s="14"/>
      <c r="D272" s="14"/>
    </row>
    <row r="273" spans="1:4">
      <c r="A273" s="14"/>
      <c r="B273" s="14"/>
      <c r="C273" s="14"/>
      <c r="D273" s="14"/>
    </row>
    <row r="274" spans="1:4">
      <c r="A274" s="14"/>
      <c r="B274" s="14"/>
      <c r="C274" s="14"/>
      <c r="D274" s="14"/>
    </row>
    <row r="275" spans="1:4">
      <c r="A275" s="14"/>
      <c r="B275" s="14"/>
      <c r="C275" s="14"/>
      <c r="D275" s="14"/>
    </row>
    <row r="276" spans="1:4">
      <c r="A276" s="14"/>
      <c r="B276" s="14"/>
      <c r="C276" s="14"/>
      <c r="D276" s="14"/>
    </row>
    <row r="277" spans="1:4">
      <c r="A277" s="14"/>
      <c r="B277" s="14"/>
      <c r="C277" s="14"/>
      <c r="D277" s="14"/>
    </row>
    <row r="278" spans="1:4">
      <c r="A278" s="14"/>
      <c r="B278" s="14"/>
      <c r="C278" s="14"/>
      <c r="D278" s="14"/>
    </row>
    <row r="279" spans="1:4">
      <c r="A279" s="14"/>
      <c r="B279" s="14"/>
      <c r="C279" s="14"/>
      <c r="D279" s="14"/>
    </row>
    <row r="280" spans="1:4">
      <c r="A280" s="14"/>
      <c r="B280" s="14"/>
      <c r="C280" s="14"/>
      <c r="D280" s="14"/>
    </row>
    <row r="281" spans="1:4">
      <c r="A281" s="14"/>
      <c r="B281" s="14"/>
      <c r="C281" s="14"/>
      <c r="D281" s="14"/>
    </row>
    <row r="282" spans="1:4">
      <c r="A282" s="14"/>
      <c r="B282" s="14"/>
      <c r="C282" s="14"/>
      <c r="D282" s="14"/>
    </row>
    <row r="283" spans="1:4">
      <c r="A283" s="14"/>
      <c r="B283" s="14"/>
      <c r="C283" s="14"/>
      <c r="D283" s="14"/>
    </row>
    <row r="284" spans="1:4">
      <c r="A284" s="14"/>
      <c r="B284" s="14"/>
      <c r="C284" s="14"/>
      <c r="D284" s="14"/>
    </row>
    <row r="285" spans="1:4">
      <c r="A285" s="14"/>
      <c r="B285" s="14"/>
      <c r="C285" s="14"/>
      <c r="D285" s="14"/>
    </row>
    <row r="286" spans="1:4">
      <c r="A286" s="14"/>
      <c r="B286" s="14"/>
      <c r="C286" s="14"/>
      <c r="D286" s="14"/>
    </row>
    <row r="287" spans="1:4">
      <c r="A287" s="14"/>
      <c r="B287" s="14"/>
      <c r="C287" s="14"/>
      <c r="D287" s="14"/>
    </row>
    <row r="288" spans="1:4">
      <c r="A288" s="14"/>
      <c r="B288" s="14"/>
      <c r="C288" s="14"/>
      <c r="D288" s="14"/>
    </row>
    <row r="289" spans="1:4">
      <c r="A289" s="14"/>
      <c r="B289" s="14"/>
      <c r="C289" s="14"/>
      <c r="D289" s="14"/>
    </row>
    <row r="290" spans="1:4">
      <c r="A290" s="14"/>
      <c r="B290" s="14"/>
      <c r="C290" s="14"/>
      <c r="D290" s="14"/>
    </row>
    <row r="291" spans="1:4">
      <c r="A291" s="14"/>
      <c r="B291" s="14"/>
      <c r="C291" s="14"/>
      <c r="D291" s="14"/>
    </row>
    <row r="292" spans="1:4">
      <c r="A292" s="14"/>
      <c r="B292" s="14"/>
      <c r="C292" s="14"/>
      <c r="D292" s="14"/>
    </row>
    <row r="293" spans="1:4">
      <c r="A293" s="14"/>
      <c r="B293" s="14"/>
      <c r="C293" s="14"/>
      <c r="D293" s="14"/>
    </row>
    <row r="294" spans="1:4">
      <c r="A294" s="14"/>
      <c r="B294" s="14"/>
      <c r="C294" s="14"/>
      <c r="D294" s="14"/>
    </row>
    <row r="295" spans="1:4">
      <c r="A295" s="14"/>
      <c r="B295" s="14"/>
      <c r="C295" s="14"/>
      <c r="D295" s="14"/>
    </row>
    <row r="296" spans="1:4">
      <c r="A296" s="14"/>
      <c r="B296" s="14"/>
      <c r="C296" s="14"/>
      <c r="D296" s="14"/>
    </row>
    <row r="297" spans="1:4">
      <c r="A297" s="14"/>
      <c r="B297" s="14"/>
      <c r="C297" s="14"/>
      <c r="D297" s="14"/>
    </row>
    <row r="298" spans="1:4">
      <c r="A298" s="14"/>
      <c r="B298" s="14"/>
      <c r="C298" s="14"/>
      <c r="D298" s="14"/>
    </row>
    <row r="299" spans="1:4">
      <c r="A299" s="14"/>
      <c r="B299" s="14"/>
      <c r="C299" s="14"/>
      <c r="D299" s="14"/>
    </row>
    <row r="300" spans="1:4">
      <c r="A300" s="14"/>
      <c r="B300" s="14"/>
      <c r="C300" s="14"/>
      <c r="D300" s="14"/>
    </row>
    <row r="301" spans="1:4">
      <c r="A301" s="14"/>
      <c r="B301" s="14"/>
      <c r="C301" s="14"/>
      <c r="D301" s="14"/>
    </row>
    <row r="302" spans="1:4">
      <c r="A302" s="14"/>
      <c r="B302" s="14"/>
      <c r="C302" s="14"/>
      <c r="D302" s="14"/>
    </row>
    <row r="303" spans="1:4">
      <c r="A303" s="14"/>
      <c r="B303" s="14"/>
      <c r="C303" s="14"/>
      <c r="D303" s="14"/>
    </row>
    <row r="304" spans="1:4">
      <c r="A304" s="14"/>
      <c r="B304" s="14"/>
      <c r="C304" s="14"/>
      <c r="D304" s="14"/>
    </row>
    <row r="305" spans="1:4">
      <c r="A305" s="14"/>
      <c r="B305" s="14"/>
      <c r="C305" s="14"/>
      <c r="D305" s="14"/>
    </row>
    <row r="306" spans="1:4">
      <c r="A306" s="14"/>
      <c r="B306" s="14"/>
      <c r="C306" s="14"/>
      <c r="D306" s="14"/>
    </row>
    <row r="307" spans="1:4">
      <c r="A307" s="14"/>
      <c r="B307" s="14"/>
      <c r="C307" s="14"/>
      <c r="D307" s="14"/>
    </row>
    <row r="308" spans="1:4">
      <c r="A308" s="14"/>
      <c r="B308" s="14"/>
      <c r="C308" s="14"/>
      <c r="D308" s="14"/>
    </row>
    <row r="309" spans="1:4">
      <c r="A309" s="14"/>
      <c r="B309" s="14"/>
      <c r="C309" s="14"/>
      <c r="D309" s="14"/>
    </row>
    <row r="310" spans="1:4">
      <c r="A310" s="14"/>
      <c r="B310" s="14"/>
      <c r="C310" s="14"/>
      <c r="D310" s="14"/>
    </row>
    <row r="311" spans="1:4">
      <c r="A311" s="14"/>
      <c r="B311" s="14"/>
      <c r="C311" s="14"/>
      <c r="D311" s="14"/>
    </row>
    <row r="312" spans="1:4">
      <c r="A312" s="14"/>
      <c r="B312" s="14"/>
      <c r="C312" s="14"/>
      <c r="D312" s="14"/>
    </row>
    <row r="313" spans="1:4">
      <c r="A313" s="14"/>
      <c r="B313" s="14"/>
      <c r="C313" s="14"/>
      <c r="D313" s="14"/>
    </row>
    <row r="314" spans="1:4">
      <c r="A314" s="14"/>
      <c r="B314" s="14"/>
      <c r="C314" s="14"/>
      <c r="D314" s="14"/>
    </row>
    <row r="315" spans="1:4">
      <c r="A315" s="14"/>
      <c r="B315" s="14"/>
      <c r="C315" s="14"/>
      <c r="D315" s="14"/>
    </row>
    <row r="316" spans="1:4">
      <c r="A316" s="14"/>
      <c r="B316" s="14"/>
      <c r="C316" s="14"/>
      <c r="D316" s="14"/>
    </row>
    <row r="317" spans="1:4">
      <c r="A317" s="14"/>
      <c r="B317" s="14"/>
      <c r="C317" s="14"/>
      <c r="D317" s="14"/>
    </row>
    <row r="318" spans="1:4">
      <c r="A318" s="14"/>
      <c r="B318" s="14"/>
      <c r="C318" s="14"/>
      <c r="D318" s="14"/>
    </row>
    <row r="319" spans="1:4">
      <c r="A319" s="14"/>
      <c r="B319" s="14"/>
      <c r="C319" s="14"/>
      <c r="D319" s="14"/>
    </row>
    <row r="320" spans="1:4">
      <c r="A320" s="14"/>
      <c r="B320" s="14"/>
      <c r="C320" s="14"/>
      <c r="D320" s="14"/>
    </row>
    <row r="321" spans="1:4">
      <c r="A321" s="14"/>
      <c r="B321" s="14"/>
      <c r="C321" s="14"/>
      <c r="D321" s="14"/>
    </row>
    <row r="322" spans="1:4">
      <c r="A322" s="14"/>
      <c r="B322" s="14"/>
      <c r="C322" s="14"/>
      <c r="D322" s="14"/>
    </row>
    <row r="323" spans="1:4">
      <c r="A323" s="14"/>
      <c r="B323" s="14"/>
      <c r="C323" s="14"/>
      <c r="D323" s="14"/>
    </row>
    <row r="324" spans="1:4">
      <c r="A324" s="14"/>
      <c r="B324" s="14"/>
      <c r="C324" s="14"/>
      <c r="D324" s="14"/>
    </row>
    <row r="325" spans="1:4">
      <c r="A325" s="14"/>
      <c r="B325" s="14"/>
      <c r="C325" s="14"/>
      <c r="D325" s="14"/>
    </row>
    <row r="326" spans="1:4">
      <c r="A326" s="14"/>
      <c r="B326" s="14"/>
      <c r="C326" s="14"/>
      <c r="D326" s="14"/>
    </row>
    <row r="327" spans="1:4">
      <c r="A327" s="14"/>
      <c r="B327" s="14"/>
      <c r="C327" s="14"/>
      <c r="D327" s="14"/>
    </row>
    <row r="328" spans="1:4">
      <c r="A328" s="14"/>
      <c r="B328" s="14"/>
      <c r="C328" s="14"/>
      <c r="D328" s="14"/>
    </row>
    <row r="329" spans="1:4">
      <c r="A329" s="14"/>
      <c r="B329" s="14"/>
      <c r="C329" s="14"/>
      <c r="D329" s="14"/>
    </row>
    <row r="330" spans="1:4">
      <c r="A330" s="14"/>
      <c r="B330" s="14"/>
      <c r="C330" s="14"/>
      <c r="D330" s="14"/>
    </row>
    <row r="331" spans="1:4">
      <c r="A331" s="14"/>
      <c r="B331" s="14"/>
      <c r="C331" s="14"/>
      <c r="D331" s="14"/>
    </row>
    <row r="332" spans="1:4">
      <c r="A332" s="14"/>
      <c r="B332" s="14"/>
      <c r="C332" s="14"/>
      <c r="D332" s="14"/>
    </row>
    <row r="333" spans="1:4">
      <c r="A333" s="14"/>
      <c r="B333" s="14"/>
      <c r="C333" s="14"/>
      <c r="D333" s="14"/>
    </row>
    <row r="334" spans="1:4">
      <c r="A334" s="14"/>
      <c r="B334" s="14"/>
      <c r="C334" s="14"/>
      <c r="D334" s="14"/>
    </row>
    <row r="335" spans="1:4">
      <c r="A335" s="14"/>
      <c r="B335" s="14"/>
      <c r="C335" s="14"/>
      <c r="D335" s="14"/>
    </row>
    <row r="336" spans="1:4">
      <c r="A336" s="14"/>
      <c r="B336" s="14"/>
      <c r="C336" s="14"/>
      <c r="D336" s="14"/>
    </row>
    <row r="337" spans="1:4">
      <c r="A337" s="14"/>
      <c r="B337" s="14"/>
      <c r="C337" s="14"/>
      <c r="D337" s="14"/>
    </row>
    <row r="338" spans="1:4">
      <c r="A338" s="14"/>
      <c r="B338" s="14"/>
      <c r="C338" s="14"/>
      <c r="D338" s="14"/>
    </row>
    <row r="339" spans="1:4">
      <c r="A339" s="14"/>
      <c r="B339" s="14"/>
      <c r="C339" s="14"/>
      <c r="D339" s="14"/>
    </row>
    <row r="340" spans="1:4">
      <c r="A340" s="14"/>
      <c r="B340" s="14"/>
      <c r="C340" s="14"/>
      <c r="D340" s="14"/>
    </row>
    <row r="341" spans="1:4">
      <c r="A341" s="14"/>
      <c r="B341" s="14"/>
      <c r="C341" s="14"/>
      <c r="D341" s="14"/>
    </row>
    <row r="342" spans="1:4">
      <c r="A342" s="14"/>
      <c r="B342" s="14"/>
      <c r="C342" s="14"/>
      <c r="D342" s="14"/>
    </row>
    <row r="343" spans="1:4">
      <c r="A343" s="14"/>
      <c r="B343" s="14"/>
      <c r="C343" s="14"/>
      <c r="D343" s="14"/>
    </row>
    <row r="344" spans="1:4">
      <c r="A344" s="14"/>
      <c r="B344" s="14"/>
      <c r="C344" s="14"/>
      <c r="D344" s="14"/>
    </row>
    <row r="345" spans="1:4">
      <c r="A345" s="14"/>
      <c r="B345" s="14"/>
      <c r="C345" s="14"/>
      <c r="D345" s="14"/>
    </row>
    <row r="346" spans="1:4">
      <c r="A346" s="14"/>
      <c r="B346" s="14"/>
      <c r="C346" s="14"/>
      <c r="D346" s="14"/>
    </row>
    <row r="347" spans="1:4">
      <c r="A347" s="14"/>
      <c r="B347" s="14"/>
      <c r="C347" s="14"/>
      <c r="D347" s="14"/>
    </row>
    <row r="348" spans="1:4">
      <c r="A348" s="14"/>
      <c r="B348" s="14"/>
      <c r="C348" s="14"/>
      <c r="D348" s="14"/>
    </row>
    <row r="349" spans="1:4">
      <c r="A349" s="14"/>
      <c r="B349" s="14"/>
      <c r="C349" s="14"/>
      <c r="D349" s="14"/>
    </row>
    <row r="350" spans="1:4">
      <c r="A350" s="14"/>
      <c r="B350" s="14"/>
      <c r="C350" s="14"/>
      <c r="D350" s="14"/>
    </row>
    <row r="351" spans="1:4">
      <c r="A351" s="14"/>
      <c r="B351" s="14"/>
      <c r="C351" s="14"/>
      <c r="D351" s="14"/>
    </row>
    <row r="352" spans="1:4">
      <c r="A352" s="14"/>
      <c r="B352" s="14"/>
      <c r="C352" s="14"/>
      <c r="D352" s="14"/>
    </row>
    <row r="353" spans="1:4">
      <c r="A353" s="14"/>
      <c r="B353" s="14"/>
      <c r="C353" s="14"/>
      <c r="D353" s="14"/>
    </row>
    <row r="354" spans="1:4">
      <c r="A354" s="14"/>
      <c r="B354" s="14"/>
      <c r="C354" s="14"/>
      <c r="D354" s="14"/>
    </row>
    <row r="355" spans="1:4">
      <c r="A355" s="14"/>
      <c r="B355" s="14"/>
      <c r="C355" s="14"/>
      <c r="D355" s="14"/>
    </row>
    <row r="356" spans="1:4">
      <c r="A356" s="14"/>
      <c r="B356" s="14"/>
      <c r="C356" s="14"/>
      <c r="D356" s="14"/>
    </row>
    <row r="357" spans="1:4">
      <c r="A357" s="14"/>
      <c r="B357" s="14"/>
      <c r="C357" s="14"/>
      <c r="D357" s="14"/>
    </row>
    <row r="358" spans="1:4">
      <c r="A358" s="14"/>
      <c r="B358" s="14"/>
      <c r="C358" s="14"/>
      <c r="D358" s="14"/>
    </row>
    <row r="359" spans="1:4">
      <c r="A359" s="14"/>
      <c r="B359" s="14"/>
      <c r="C359" s="14"/>
      <c r="D359" s="14"/>
    </row>
    <row r="360" spans="1:4">
      <c r="A360" s="14"/>
      <c r="B360" s="14"/>
      <c r="C360" s="14"/>
      <c r="D360" s="14"/>
    </row>
    <row r="361" spans="1:4">
      <c r="A361" s="14"/>
      <c r="B361" s="14"/>
      <c r="C361" s="14"/>
      <c r="D361" s="14"/>
    </row>
    <row r="362" spans="1:4">
      <c r="A362" s="14"/>
      <c r="B362" s="14"/>
      <c r="C362" s="14"/>
      <c r="D362" s="14"/>
    </row>
    <row r="363" spans="1:4">
      <c r="A363" s="14"/>
      <c r="B363" s="14"/>
      <c r="C363" s="14"/>
      <c r="D363" s="14"/>
    </row>
    <row r="364" spans="1:4">
      <c r="A364" s="14"/>
      <c r="B364" s="14"/>
      <c r="C364" s="14"/>
      <c r="D364" s="14"/>
    </row>
    <row r="365" spans="1:4">
      <c r="A365" s="14"/>
      <c r="B365" s="14"/>
      <c r="C365" s="14"/>
      <c r="D365" s="14"/>
    </row>
    <row r="366" spans="1:4">
      <c r="A366" s="14"/>
      <c r="B366" s="14"/>
      <c r="C366" s="14"/>
      <c r="D366" s="14"/>
    </row>
    <row r="367" spans="1:4">
      <c r="A367" s="14"/>
      <c r="B367" s="14"/>
      <c r="C367" s="14"/>
      <c r="D367" s="14"/>
    </row>
    <row r="368" spans="1:4">
      <c r="A368" s="14"/>
      <c r="B368" s="14"/>
      <c r="C368" s="14"/>
      <c r="D368" s="14"/>
    </row>
    <row r="369" spans="1:4">
      <c r="A369" s="14"/>
      <c r="B369" s="14"/>
      <c r="C369" s="14"/>
      <c r="D369" s="14"/>
    </row>
    <row r="370" spans="1:4">
      <c r="A370" s="14"/>
      <c r="B370" s="14"/>
      <c r="C370" s="14"/>
      <c r="D370" s="14"/>
    </row>
    <row r="371" spans="1:4">
      <c r="A371" s="14"/>
      <c r="B371" s="14"/>
      <c r="C371" s="14"/>
      <c r="D371" s="14"/>
    </row>
    <row r="372" spans="1:4">
      <c r="A372" s="14"/>
      <c r="B372" s="14"/>
      <c r="C372" s="14"/>
      <c r="D372" s="14"/>
    </row>
    <row r="373" spans="1:4">
      <c r="A373" s="14"/>
      <c r="B373" s="14"/>
      <c r="C373" s="14"/>
      <c r="D373" s="14"/>
    </row>
    <row r="374" spans="1:4">
      <c r="A374" s="14"/>
      <c r="B374" s="14"/>
      <c r="C374" s="14"/>
      <c r="D374" s="14"/>
    </row>
    <row r="375" spans="1:4">
      <c r="A375" s="14"/>
      <c r="B375" s="14"/>
      <c r="C375" s="14"/>
      <c r="D375" s="14"/>
    </row>
    <row r="376" spans="1:4">
      <c r="A376" s="14"/>
      <c r="B376" s="14"/>
      <c r="C376" s="14"/>
      <c r="D376" s="14"/>
    </row>
    <row r="377" spans="1:4">
      <c r="A377" s="14"/>
      <c r="B377" s="14"/>
      <c r="C377" s="14"/>
      <c r="D377" s="14"/>
    </row>
    <row r="378" spans="1:4">
      <c r="A378" s="14"/>
      <c r="B378" s="14"/>
      <c r="C378" s="14"/>
      <c r="D378" s="14"/>
    </row>
    <row r="379" spans="1:4">
      <c r="A379" s="14"/>
      <c r="B379" s="14"/>
      <c r="C379" s="14"/>
      <c r="D379" s="14"/>
    </row>
    <row r="380" spans="1:4">
      <c r="A380" s="14"/>
      <c r="B380" s="14"/>
      <c r="C380" s="14"/>
      <c r="D380" s="14"/>
    </row>
    <row r="381" spans="1:4">
      <c r="A381" s="14"/>
      <c r="B381" s="14"/>
      <c r="C381" s="14"/>
      <c r="D381" s="14"/>
    </row>
    <row r="382" spans="1:4">
      <c r="A382" s="14"/>
      <c r="B382" s="14"/>
      <c r="C382" s="14"/>
      <c r="D382" s="14"/>
    </row>
    <row r="383" spans="1:4">
      <c r="A383" s="14"/>
      <c r="B383" s="14"/>
      <c r="C383" s="14"/>
      <c r="D383" s="14"/>
    </row>
    <row r="384" spans="1:4">
      <c r="A384" s="14"/>
      <c r="B384" s="14"/>
      <c r="C384" s="14"/>
      <c r="D384" s="14"/>
    </row>
    <row r="385" spans="1:4">
      <c r="A385" s="14"/>
      <c r="B385" s="14"/>
      <c r="C385" s="14"/>
      <c r="D385" s="14"/>
    </row>
    <row r="386" spans="1:4">
      <c r="A386" s="14"/>
      <c r="B386" s="14"/>
      <c r="C386" s="14"/>
      <c r="D386" s="14"/>
    </row>
    <row r="387" spans="1:4">
      <c r="A387" s="14"/>
      <c r="B387" s="14"/>
      <c r="C387" s="14"/>
      <c r="D387" s="14"/>
    </row>
    <row r="388" spans="1:4">
      <c r="A388" s="14"/>
      <c r="B388" s="14"/>
      <c r="C388" s="14"/>
      <c r="D388" s="14"/>
    </row>
    <row r="389" spans="1:4">
      <c r="A389" s="14"/>
      <c r="B389" s="14"/>
      <c r="C389" s="14"/>
      <c r="D389" s="14"/>
    </row>
    <row r="390" spans="1:4">
      <c r="A390" s="14"/>
      <c r="B390" s="14"/>
      <c r="C390" s="14"/>
      <c r="D390" s="14"/>
    </row>
    <row r="391" spans="1:4">
      <c r="A391" s="14"/>
      <c r="B391" s="14"/>
      <c r="C391" s="14"/>
      <c r="D391" s="14"/>
    </row>
    <row r="392" spans="1:4">
      <c r="A392" s="14"/>
      <c r="B392" s="14"/>
      <c r="C392" s="14"/>
      <c r="D392" s="14"/>
    </row>
    <row r="393" spans="1:4">
      <c r="A393" s="14"/>
      <c r="B393" s="14"/>
      <c r="C393" s="14"/>
      <c r="D393" s="14"/>
    </row>
    <row r="394" spans="1:4">
      <c r="A394" s="14"/>
      <c r="B394" s="14"/>
      <c r="C394" s="14"/>
      <c r="D394" s="14"/>
    </row>
    <row r="395" spans="1:4">
      <c r="A395" s="14"/>
      <c r="B395" s="14"/>
      <c r="C395" s="14"/>
      <c r="D395" s="14"/>
    </row>
    <row r="396" spans="1:4">
      <c r="A396" s="14"/>
      <c r="B396" s="14"/>
      <c r="C396" s="14"/>
      <c r="D396" s="14"/>
    </row>
    <row r="397" spans="1:4">
      <c r="A397" s="14"/>
      <c r="B397" s="14"/>
      <c r="C397" s="14"/>
      <c r="D397" s="14"/>
    </row>
    <row r="398" spans="1:4">
      <c r="A398" s="14"/>
      <c r="B398" s="14"/>
      <c r="C398" s="14"/>
      <c r="D398" s="14"/>
    </row>
    <row r="399" spans="1:4">
      <c r="A399" s="14"/>
      <c r="B399" s="14"/>
      <c r="C399" s="14"/>
      <c r="D399" s="14"/>
    </row>
    <row r="400" spans="1:4">
      <c r="A400" s="14"/>
      <c r="B400" s="14"/>
      <c r="C400" s="14"/>
      <c r="D400" s="14"/>
    </row>
    <row r="401" spans="1:4">
      <c r="A401" s="14"/>
      <c r="B401" s="14"/>
      <c r="C401" s="14"/>
      <c r="D401" s="14"/>
    </row>
    <row r="402" spans="1:4">
      <c r="A402" s="14"/>
      <c r="B402" s="14"/>
      <c r="C402" s="14"/>
      <c r="D402" s="14"/>
    </row>
    <row r="403" spans="1:4">
      <c r="A403" s="14"/>
      <c r="B403" s="14"/>
      <c r="C403" s="14"/>
      <c r="D403" s="14"/>
    </row>
    <row r="404" spans="1:4">
      <c r="A404" s="14"/>
      <c r="B404" s="14"/>
      <c r="C404" s="14"/>
      <c r="D404" s="14"/>
    </row>
    <row r="405" spans="1:4">
      <c r="A405" s="14"/>
      <c r="B405" s="14"/>
      <c r="C405" s="14"/>
      <c r="D405" s="14"/>
    </row>
    <row r="406" spans="1:4">
      <c r="A406" s="14"/>
      <c r="B406" s="14"/>
      <c r="C406" s="14"/>
      <c r="D406" s="14"/>
    </row>
    <row r="407" spans="1:4">
      <c r="A407" s="14"/>
      <c r="B407" s="14"/>
      <c r="C407" s="14"/>
      <c r="D407" s="14"/>
    </row>
    <row r="408" spans="1:4">
      <c r="A408" s="14"/>
      <c r="B408" s="14"/>
      <c r="C408" s="14"/>
      <c r="D408" s="14"/>
    </row>
    <row r="409" spans="1:4">
      <c r="A409" s="14"/>
      <c r="B409" s="14"/>
      <c r="C409" s="14"/>
      <c r="D409" s="14"/>
    </row>
    <row r="410" spans="1:4">
      <c r="A410" s="14"/>
      <c r="B410" s="14"/>
      <c r="C410" s="14"/>
      <c r="D410" s="14"/>
    </row>
    <row r="411" spans="1:4">
      <c r="A411" s="14"/>
      <c r="B411" s="14"/>
      <c r="C411" s="14"/>
      <c r="D411" s="14"/>
    </row>
    <row r="412" spans="1:4">
      <c r="A412" s="14"/>
      <c r="B412" s="14"/>
      <c r="C412" s="14"/>
      <c r="D412" s="14"/>
    </row>
    <row r="413" spans="1:4">
      <c r="A413" s="14"/>
      <c r="B413" s="14"/>
      <c r="C413" s="14"/>
      <c r="D413" s="14"/>
    </row>
    <row r="414" spans="1:4">
      <c r="A414" s="14"/>
      <c r="B414" s="14"/>
      <c r="C414" s="14"/>
      <c r="D414" s="14"/>
    </row>
    <row r="415" spans="1:4">
      <c r="A415" s="14"/>
      <c r="B415" s="14"/>
      <c r="C415" s="14"/>
      <c r="D415" s="14"/>
    </row>
    <row r="416" spans="1:4">
      <c r="A416" s="14"/>
      <c r="B416" s="14"/>
      <c r="C416" s="14"/>
      <c r="D416" s="14"/>
    </row>
    <row r="417" spans="1:4">
      <c r="A417" s="14"/>
      <c r="B417" s="14"/>
      <c r="C417" s="14"/>
      <c r="D417" s="14"/>
    </row>
    <row r="418" spans="1:4">
      <c r="A418" s="14"/>
      <c r="B418" s="14"/>
      <c r="C418" s="14"/>
      <c r="D418" s="14"/>
    </row>
    <row r="419" spans="1:4">
      <c r="A419" s="14"/>
      <c r="B419" s="14"/>
      <c r="C419" s="14"/>
      <c r="D419" s="14"/>
    </row>
    <row r="420" spans="1:4">
      <c r="A420" s="14"/>
      <c r="B420" s="14"/>
      <c r="C420" s="14"/>
      <c r="D420" s="14"/>
    </row>
    <row r="421" spans="1:4">
      <c r="A421" s="14"/>
      <c r="B421" s="14"/>
      <c r="C421" s="14"/>
      <c r="D421" s="14"/>
    </row>
    <row r="422" spans="1:4">
      <c r="A422" s="14"/>
      <c r="B422" s="14"/>
      <c r="C422" s="14"/>
      <c r="D422" s="14"/>
    </row>
    <row r="423" spans="1:4">
      <c r="A423" s="14"/>
      <c r="B423" s="14"/>
      <c r="C423" s="14"/>
      <c r="D423" s="14"/>
    </row>
    <row r="424" spans="1:4">
      <c r="A424" s="14"/>
      <c r="B424" s="14"/>
      <c r="C424" s="14"/>
      <c r="D424" s="14"/>
    </row>
    <row r="425" spans="1:4">
      <c r="A425" s="14"/>
      <c r="B425" s="14"/>
      <c r="C425" s="14"/>
      <c r="D425" s="14"/>
    </row>
    <row r="426" spans="1:4">
      <c r="A426" s="14"/>
      <c r="B426" s="14"/>
      <c r="C426" s="14"/>
      <c r="D426" s="14"/>
    </row>
    <row r="427" spans="1:4">
      <c r="A427" s="14"/>
      <c r="B427" s="14"/>
      <c r="C427" s="14"/>
      <c r="D427" s="14"/>
    </row>
    <row r="428" spans="1:4">
      <c r="A428" s="14"/>
      <c r="B428" s="14"/>
      <c r="C428" s="14"/>
      <c r="D428" s="14"/>
    </row>
    <row r="429" spans="1:4">
      <c r="A429" s="14"/>
      <c r="B429" s="14"/>
      <c r="C429" s="14"/>
      <c r="D429" s="14"/>
    </row>
    <row r="430" spans="1:4">
      <c r="A430" s="14"/>
      <c r="B430" s="14"/>
      <c r="C430" s="14"/>
      <c r="D430" s="14"/>
    </row>
    <row r="431" spans="1:4">
      <c r="A431" s="14"/>
      <c r="B431" s="14"/>
      <c r="C431" s="14"/>
      <c r="D431" s="14"/>
    </row>
    <row r="432" spans="1:4">
      <c r="A432" s="14"/>
      <c r="B432" s="14"/>
      <c r="C432" s="14"/>
      <c r="D432" s="14"/>
    </row>
    <row r="433" spans="1:4">
      <c r="A433" s="14"/>
      <c r="B433" s="14"/>
      <c r="C433" s="14"/>
      <c r="D433" s="14"/>
    </row>
    <row r="434" spans="1:4">
      <c r="A434" s="14"/>
      <c r="B434" s="14"/>
      <c r="C434" s="14"/>
      <c r="D434" s="14"/>
    </row>
    <row r="435" spans="1:4">
      <c r="A435" s="14"/>
      <c r="B435" s="14"/>
      <c r="C435" s="14"/>
      <c r="D435" s="14"/>
    </row>
    <row r="436" spans="1:4">
      <c r="A436" s="14"/>
      <c r="B436" s="14"/>
      <c r="C436" s="14"/>
      <c r="D436" s="14"/>
    </row>
    <row r="437" spans="1:4">
      <c r="A437" s="14"/>
      <c r="B437" s="14"/>
      <c r="C437" s="14"/>
      <c r="D437" s="14"/>
    </row>
    <row r="438" spans="1:4">
      <c r="A438" s="14"/>
      <c r="B438" s="14"/>
      <c r="C438" s="14"/>
      <c r="D438" s="14"/>
    </row>
    <row r="439" spans="1:4">
      <c r="A439" s="14"/>
      <c r="B439" s="14"/>
      <c r="C439" s="14"/>
      <c r="D439" s="14"/>
    </row>
    <row r="440" spans="1:4">
      <c r="A440" s="14"/>
      <c r="B440" s="14"/>
      <c r="C440" s="14"/>
      <c r="D440" s="14"/>
    </row>
    <row r="441" spans="1:4">
      <c r="A441" s="14"/>
      <c r="B441" s="14"/>
      <c r="C441" s="14"/>
      <c r="D441" s="14"/>
    </row>
    <row r="442" spans="1:4">
      <c r="A442" s="14"/>
      <c r="B442" s="14"/>
      <c r="C442" s="14"/>
      <c r="D442" s="14"/>
    </row>
    <row r="443" spans="1:4">
      <c r="A443" s="14"/>
      <c r="B443" s="14"/>
      <c r="C443" s="14"/>
      <c r="D443" s="14"/>
    </row>
    <row r="444" spans="1:4">
      <c r="A444" s="14"/>
      <c r="B444" s="14"/>
      <c r="C444" s="14"/>
      <c r="D444" s="14"/>
    </row>
    <row r="445" spans="1:4">
      <c r="A445" s="14"/>
      <c r="B445" s="14"/>
      <c r="C445" s="14"/>
      <c r="D445" s="14"/>
    </row>
    <row r="446" spans="1:4">
      <c r="A446" s="14"/>
      <c r="B446" s="14"/>
      <c r="C446" s="14"/>
      <c r="D446" s="14"/>
    </row>
    <row r="447" spans="1:4">
      <c r="A447" s="14"/>
      <c r="B447" s="14"/>
      <c r="C447" s="14"/>
      <c r="D447" s="14"/>
    </row>
    <row r="448" spans="1:4">
      <c r="A448" s="14"/>
      <c r="B448" s="14"/>
      <c r="C448" s="14"/>
      <c r="D448" s="14"/>
    </row>
    <row r="449" spans="1:4">
      <c r="A449" s="14"/>
      <c r="B449" s="14"/>
      <c r="C449" s="14"/>
      <c r="D449" s="14"/>
    </row>
    <row r="450" spans="1:4">
      <c r="A450" s="14"/>
      <c r="B450" s="14"/>
      <c r="C450" s="14"/>
      <c r="D450" s="14"/>
    </row>
    <row r="451" spans="1:4">
      <c r="A451" s="14"/>
      <c r="B451" s="14"/>
      <c r="C451" s="14"/>
      <c r="D451" s="14"/>
    </row>
    <row r="452" spans="1:4">
      <c r="A452" s="14"/>
      <c r="B452" s="14"/>
      <c r="C452" s="14"/>
      <c r="D452" s="14"/>
    </row>
    <row r="453" spans="1:4">
      <c r="A453" s="14"/>
      <c r="B453" s="14"/>
      <c r="C453" s="14"/>
      <c r="D453" s="14"/>
    </row>
    <row r="454" spans="1:4">
      <c r="A454" s="14"/>
      <c r="B454" s="14"/>
      <c r="C454" s="14"/>
      <c r="D454" s="14"/>
    </row>
    <row r="455" spans="1:4">
      <c r="A455" s="14"/>
      <c r="B455" s="14"/>
      <c r="C455" s="14"/>
      <c r="D455" s="14"/>
    </row>
    <row r="456" spans="1:4">
      <c r="A456" s="14"/>
      <c r="B456" s="14"/>
      <c r="C456" s="14"/>
      <c r="D456" s="14"/>
    </row>
    <row r="457" spans="1:4">
      <c r="A457" s="14"/>
      <c r="B457" s="14"/>
      <c r="C457" s="14"/>
      <c r="D457" s="14"/>
    </row>
    <row r="458" spans="1:4">
      <c r="A458" s="14"/>
      <c r="B458" s="14"/>
      <c r="C458" s="14"/>
      <c r="D458" s="14"/>
    </row>
    <row r="459" spans="1:4">
      <c r="A459" s="14"/>
      <c r="B459" s="14"/>
      <c r="C459" s="14"/>
      <c r="D459" s="14"/>
    </row>
    <row r="460" spans="1:4">
      <c r="A460" s="14"/>
      <c r="B460" s="14"/>
      <c r="C460" s="14"/>
      <c r="D460" s="14"/>
    </row>
    <row r="461" spans="1:4">
      <c r="A461" s="14"/>
      <c r="B461" s="14"/>
      <c r="C461" s="14"/>
      <c r="D461" s="14"/>
    </row>
    <row r="462" spans="1:4">
      <c r="A462" s="14"/>
      <c r="B462" s="14"/>
      <c r="C462" s="14"/>
      <c r="D462" s="14"/>
    </row>
    <row r="463" spans="1:4">
      <c r="A463" s="14"/>
      <c r="B463" s="14"/>
      <c r="C463" s="14"/>
      <c r="D463" s="14"/>
    </row>
    <row r="464" spans="1:4">
      <c r="A464" s="14"/>
      <c r="B464" s="14"/>
      <c r="C464" s="14"/>
      <c r="D464" s="14"/>
    </row>
    <row r="465" spans="1:4">
      <c r="A465" s="14"/>
      <c r="B465" s="14"/>
      <c r="C465" s="14"/>
      <c r="D465" s="14"/>
    </row>
    <row r="466" spans="1:4">
      <c r="A466" s="14"/>
      <c r="B466" s="14"/>
      <c r="C466" s="14"/>
      <c r="D466" s="14"/>
    </row>
    <row r="467" spans="1:4">
      <c r="A467" s="14"/>
      <c r="B467" s="14"/>
      <c r="C467" s="14"/>
      <c r="D467" s="14"/>
    </row>
    <row r="468" spans="1:4">
      <c r="A468" s="14"/>
      <c r="B468" s="14"/>
      <c r="C468" s="14"/>
      <c r="D468" s="14"/>
    </row>
    <row r="469" spans="1:4">
      <c r="A469" s="14"/>
      <c r="B469" s="14"/>
      <c r="C469" s="14"/>
      <c r="D469" s="14"/>
    </row>
    <row r="470" spans="1:4">
      <c r="A470" s="14"/>
      <c r="B470" s="14"/>
      <c r="C470" s="14"/>
      <c r="D470" s="14"/>
    </row>
    <row r="471" spans="1:4">
      <c r="A471" s="14"/>
      <c r="B471" s="14"/>
      <c r="C471" s="14"/>
      <c r="D471" s="14"/>
    </row>
    <row r="472" spans="1:4">
      <c r="A472" s="14"/>
      <c r="B472" s="14"/>
      <c r="C472" s="14"/>
      <c r="D472" s="14"/>
    </row>
    <row r="473" spans="1:4">
      <c r="A473" s="14"/>
      <c r="B473" s="14"/>
      <c r="C473" s="14"/>
      <c r="D473" s="14"/>
    </row>
    <row r="474" spans="1:4">
      <c r="A474" s="14"/>
      <c r="B474" s="14"/>
      <c r="C474" s="14"/>
      <c r="D474" s="14"/>
    </row>
    <row r="475" spans="1:4">
      <c r="A475" s="14"/>
      <c r="B475" s="14"/>
      <c r="C475" s="14"/>
      <c r="D475" s="14"/>
    </row>
    <row r="476" spans="1:4">
      <c r="A476" s="14"/>
      <c r="B476" s="14"/>
      <c r="C476" s="14"/>
      <c r="D476" s="14"/>
    </row>
    <row r="477" spans="1:4">
      <c r="A477" s="14"/>
      <c r="B477" s="14"/>
      <c r="C477" s="14"/>
      <c r="D477" s="14"/>
    </row>
    <row r="478" spans="1:4">
      <c r="A478" s="14"/>
      <c r="B478" s="14"/>
      <c r="C478" s="14"/>
      <c r="D478" s="14"/>
    </row>
    <row r="479" spans="1:4">
      <c r="A479" s="14"/>
      <c r="B479" s="14"/>
      <c r="C479" s="14"/>
      <c r="D479" s="14"/>
    </row>
    <row r="480" spans="1:4">
      <c r="A480" s="14"/>
      <c r="B480" s="14"/>
      <c r="C480" s="14"/>
      <c r="D480" s="14"/>
    </row>
    <row r="481" spans="1:4">
      <c r="A481" s="14"/>
      <c r="B481" s="14"/>
      <c r="C481" s="14"/>
      <c r="D481" s="14"/>
    </row>
    <row r="482" spans="1:4">
      <c r="A482" s="14"/>
      <c r="B482" s="14"/>
      <c r="C482" s="14"/>
      <c r="D482" s="14"/>
    </row>
    <row r="483" spans="1:4">
      <c r="A483" s="14"/>
      <c r="B483" s="14"/>
      <c r="C483" s="14"/>
      <c r="D483" s="14"/>
    </row>
    <row r="484" spans="1:4">
      <c r="A484" s="14"/>
      <c r="B484" s="14"/>
      <c r="C484" s="14"/>
      <c r="D484" s="14"/>
    </row>
    <row r="485" spans="1:4">
      <c r="A485" s="14"/>
      <c r="B485" s="14"/>
      <c r="C485" s="14"/>
      <c r="D485" s="14"/>
    </row>
    <row r="486" spans="1:4">
      <c r="A486" s="14"/>
      <c r="B486" s="14"/>
      <c r="C486" s="14"/>
      <c r="D486" s="14"/>
    </row>
    <row r="487" spans="1:4">
      <c r="A487" s="14"/>
      <c r="B487" s="14"/>
      <c r="C487" s="14"/>
      <c r="D487" s="14"/>
    </row>
    <row r="488" spans="1:4">
      <c r="A488" s="14"/>
      <c r="B488" s="14"/>
      <c r="C488" s="14"/>
      <c r="D488" s="14"/>
    </row>
    <row r="489" spans="1:4">
      <c r="A489" s="14"/>
      <c r="B489" s="14"/>
      <c r="C489" s="14"/>
      <c r="D489" s="14"/>
    </row>
    <row r="490" spans="1:4">
      <c r="A490" s="14"/>
      <c r="B490" s="14"/>
      <c r="C490" s="14"/>
      <c r="D490" s="14"/>
    </row>
    <row r="491" spans="1:4">
      <c r="A491" s="14"/>
      <c r="B491" s="14"/>
      <c r="C491" s="14"/>
      <c r="D491" s="14"/>
    </row>
    <row r="492" spans="1:4">
      <c r="A492" s="14"/>
      <c r="B492" s="14"/>
      <c r="C492" s="14"/>
      <c r="D492" s="14"/>
    </row>
    <row r="493" spans="1:4">
      <c r="A493" s="14"/>
      <c r="B493" s="14"/>
      <c r="C493" s="14"/>
      <c r="D493" s="14"/>
    </row>
    <row r="494" spans="1:4">
      <c r="A494" s="14"/>
      <c r="B494" s="14"/>
      <c r="C494" s="14"/>
      <c r="D494" s="14"/>
    </row>
    <row r="495" spans="1:4">
      <c r="A495" s="14"/>
      <c r="B495" s="14"/>
      <c r="C495" s="14"/>
      <c r="D495" s="14"/>
    </row>
    <row r="496" spans="1:4">
      <c r="A496" s="14"/>
      <c r="B496" s="14"/>
      <c r="C496" s="14"/>
      <c r="D496" s="14"/>
    </row>
    <row r="497" spans="1:4">
      <c r="A497" s="14"/>
      <c r="B497" s="14"/>
      <c r="C497" s="14"/>
      <c r="D497" s="14"/>
    </row>
    <row r="498" spans="1:4">
      <c r="A498" s="14"/>
      <c r="B498" s="14"/>
      <c r="C498" s="14"/>
      <c r="D498" s="14"/>
    </row>
    <row r="499" spans="1:4">
      <c r="A499" s="14"/>
      <c r="B499" s="14"/>
      <c r="C499" s="14"/>
      <c r="D499" s="14"/>
    </row>
    <row r="500" spans="1:4">
      <c r="A500" s="14"/>
      <c r="B500" s="14"/>
      <c r="C500" s="14"/>
      <c r="D500" s="14"/>
    </row>
    <row r="501" spans="1:4">
      <c r="A501" s="14"/>
      <c r="B501" s="14"/>
      <c r="C501" s="14"/>
      <c r="D501" s="14"/>
    </row>
    <row r="502" spans="1:4">
      <c r="A502" s="14"/>
      <c r="B502" s="14"/>
      <c r="C502" s="14"/>
      <c r="D502" s="14"/>
    </row>
    <row r="503" spans="1:4">
      <c r="A503" s="14"/>
      <c r="B503" s="14"/>
      <c r="C503" s="14"/>
      <c r="D503" s="14"/>
    </row>
    <row r="504" spans="1:4">
      <c r="A504" s="14"/>
      <c r="B504" s="14"/>
      <c r="C504" s="14"/>
      <c r="D504" s="14"/>
    </row>
    <row r="505" spans="1:4">
      <c r="A505" s="14"/>
      <c r="B505" s="14"/>
      <c r="C505" s="14"/>
      <c r="D505" s="14"/>
    </row>
    <row r="506" spans="1:4">
      <c r="A506" s="14"/>
      <c r="B506" s="14"/>
      <c r="C506" s="14"/>
      <c r="D506" s="14"/>
    </row>
    <row r="507" spans="1:4">
      <c r="A507" s="14"/>
      <c r="B507" s="14"/>
      <c r="C507" s="14"/>
      <c r="D507" s="14"/>
    </row>
    <row r="508" spans="1:4">
      <c r="A508" s="14"/>
      <c r="B508" s="14"/>
      <c r="C508" s="14"/>
      <c r="D508" s="14"/>
    </row>
    <row r="509" spans="1:4">
      <c r="A509" s="14"/>
      <c r="B509" s="14"/>
      <c r="C509" s="14"/>
      <c r="D509" s="14"/>
    </row>
    <row r="510" spans="1:4">
      <c r="A510" s="14"/>
      <c r="B510" s="14"/>
      <c r="C510" s="14"/>
      <c r="D510" s="14"/>
    </row>
    <row r="511" spans="1:4">
      <c r="A511" s="14"/>
      <c r="B511" s="14"/>
      <c r="C511" s="14"/>
      <c r="D511" s="14"/>
    </row>
    <row r="512" spans="1:4">
      <c r="A512" s="14"/>
      <c r="B512" s="14"/>
      <c r="C512" s="14"/>
      <c r="D512" s="14"/>
    </row>
    <row r="513" spans="1:4">
      <c r="A513" s="14"/>
      <c r="B513" s="14"/>
      <c r="C513" s="14"/>
      <c r="D513" s="14"/>
    </row>
    <row r="514" spans="1:4">
      <c r="A514" s="14"/>
      <c r="B514" s="14"/>
      <c r="C514" s="14"/>
      <c r="D514" s="14"/>
    </row>
    <row r="515" spans="1:4">
      <c r="A515" s="14"/>
      <c r="B515" s="14"/>
      <c r="C515" s="14"/>
      <c r="D515" s="14"/>
    </row>
    <row r="516" spans="1:4">
      <c r="A516" s="14"/>
      <c r="B516" s="14"/>
      <c r="C516" s="14"/>
      <c r="D516" s="14"/>
    </row>
    <row r="517" spans="1:4">
      <c r="A517" s="14"/>
      <c r="B517" s="14"/>
      <c r="C517" s="14"/>
      <c r="D517" s="14"/>
    </row>
    <row r="518" spans="1:4">
      <c r="A518" s="14"/>
      <c r="B518" s="14"/>
      <c r="C518" s="14"/>
      <c r="D518" s="14"/>
    </row>
    <row r="519" spans="1:4">
      <c r="A519" s="14"/>
      <c r="B519" s="14"/>
      <c r="C519" s="14"/>
      <c r="D519" s="14"/>
    </row>
    <row r="520" spans="1:4">
      <c r="A520" s="14"/>
      <c r="B520" s="14"/>
      <c r="C520" s="14"/>
      <c r="D520" s="14"/>
    </row>
    <row r="521" spans="1:4">
      <c r="A521" s="14"/>
      <c r="B521" s="14"/>
      <c r="C521" s="14"/>
      <c r="D521" s="14"/>
    </row>
    <row r="522" spans="1:4">
      <c r="A522" s="14"/>
      <c r="B522" s="14"/>
      <c r="C522" s="14"/>
      <c r="D522" s="14"/>
    </row>
    <row r="523" spans="1:4">
      <c r="A523" s="14"/>
      <c r="B523" s="14"/>
      <c r="C523" s="14"/>
      <c r="D523" s="14"/>
    </row>
    <row r="524" spans="1:4">
      <c r="A524" s="14"/>
      <c r="B524" s="14"/>
      <c r="C524" s="14"/>
      <c r="D524" s="14"/>
    </row>
    <row r="525" spans="1:4">
      <c r="A525" s="14"/>
      <c r="B525" s="14"/>
      <c r="C525" s="14"/>
      <c r="D525" s="14"/>
    </row>
    <row r="526" spans="1:4">
      <c r="A526" s="14"/>
      <c r="B526" s="14"/>
      <c r="C526" s="14"/>
      <c r="D526" s="14"/>
    </row>
    <row r="527" spans="1:4">
      <c r="A527" s="14"/>
      <c r="B527" s="14"/>
      <c r="C527" s="14"/>
      <c r="D527" s="14"/>
    </row>
    <row r="528" spans="1:4">
      <c r="A528" s="14"/>
      <c r="B528" s="14"/>
      <c r="C528" s="14"/>
      <c r="D528" s="14"/>
    </row>
    <row r="529" spans="1:4">
      <c r="A529" s="14"/>
      <c r="B529" s="14"/>
      <c r="C529" s="14"/>
      <c r="D529" s="14"/>
    </row>
    <row r="530" spans="1:4">
      <c r="A530" s="14"/>
      <c r="B530" s="14"/>
      <c r="C530" s="14"/>
      <c r="D530" s="14"/>
    </row>
    <row r="531" spans="1:4">
      <c r="A531" s="14"/>
      <c r="B531" s="14"/>
      <c r="C531" s="14"/>
      <c r="D531" s="14"/>
    </row>
    <row r="532" spans="1:4">
      <c r="A532" s="14"/>
      <c r="B532" s="14"/>
      <c r="C532" s="14"/>
      <c r="D532" s="14"/>
    </row>
    <row r="533" spans="1:4">
      <c r="A533" s="14"/>
      <c r="B533" s="14"/>
      <c r="C533" s="14"/>
      <c r="D533" s="14"/>
    </row>
    <row r="534" spans="1:4">
      <c r="A534" s="14"/>
      <c r="B534" s="14"/>
      <c r="C534" s="14"/>
      <c r="D534" s="14"/>
    </row>
    <row r="535" spans="1:4">
      <c r="A535" s="14"/>
      <c r="B535" s="14"/>
      <c r="C535" s="14"/>
      <c r="D535" s="14"/>
    </row>
    <row r="536" spans="1:4">
      <c r="A536" s="14"/>
      <c r="B536" s="14"/>
      <c r="C536" s="14"/>
      <c r="D536" s="14"/>
    </row>
    <row r="537" spans="1:4">
      <c r="A537" s="14"/>
      <c r="B537" s="14"/>
      <c r="C537" s="14"/>
      <c r="D537" s="14"/>
    </row>
    <row r="538" spans="1:4">
      <c r="A538" s="14"/>
      <c r="B538" s="14"/>
      <c r="C538" s="14"/>
      <c r="D538" s="14"/>
    </row>
    <row r="539" spans="1:4">
      <c r="A539" s="14"/>
      <c r="B539" s="14"/>
      <c r="C539" s="14"/>
      <c r="D539" s="14"/>
    </row>
    <row r="540" spans="1:4">
      <c r="A540" s="14"/>
      <c r="B540" s="14"/>
      <c r="C540" s="14"/>
      <c r="D540" s="14"/>
    </row>
    <row r="541" spans="1:4">
      <c r="A541" s="14"/>
      <c r="B541" s="14"/>
      <c r="C541" s="14"/>
      <c r="D541" s="14"/>
    </row>
    <row r="542" spans="1:4">
      <c r="A542" s="14"/>
      <c r="B542" s="14"/>
      <c r="C542" s="14"/>
      <c r="D542" s="14"/>
    </row>
    <row r="543" spans="1:4">
      <c r="A543" s="14"/>
      <c r="B543" s="14"/>
      <c r="C543" s="14"/>
      <c r="D543" s="14"/>
    </row>
    <row r="544" spans="1:4">
      <c r="A544" s="14"/>
      <c r="B544" s="14"/>
      <c r="C544" s="14"/>
      <c r="D544" s="14"/>
    </row>
    <row r="545" spans="1:4">
      <c r="A545" s="14"/>
      <c r="B545" s="14"/>
      <c r="C545" s="14"/>
      <c r="D545" s="14"/>
    </row>
    <row r="546" spans="1:4">
      <c r="A546" s="14"/>
      <c r="B546" s="14"/>
      <c r="C546" s="14"/>
      <c r="D546" s="14"/>
    </row>
    <row r="547" spans="1:4">
      <c r="A547" s="14"/>
      <c r="B547" s="14"/>
      <c r="C547" s="14"/>
      <c r="D547" s="14"/>
    </row>
    <row r="548" spans="1:4">
      <c r="A548" s="14"/>
      <c r="B548" s="14"/>
      <c r="C548" s="14"/>
      <c r="D548" s="14"/>
    </row>
    <row r="549" spans="1:4">
      <c r="A549" s="14"/>
      <c r="B549" s="14"/>
      <c r="C549" s="14"/>
      <c r="D549" s="14"/>
    </row>
    <row r="550" spans="1:4">
      <c r="A550" s="14"/>
      <c r="B550" s="14"/>
      <c r="C550" s="14"/>
      <c r="D550" s="14"/>
    </row>
    <row r="551" spans="1:4">
      <c r="A551" s="14"/>
      <c r="B551" s="14"/>
      <c r="C551" s="14"/>
      <c r="D551" s="14"/>
    </row>
    <row r="552" spans="1:4">
      <c r="A552" s="14"/>
      <c r="B552" s="14"/>
      <c r="C552" s="14"/>
      <c r="D552" s="14"/>
    </row>
    <row r="553" spans="1:4">
      <c r="A553" s="14"/>
      <c r="B553" s="14"/>
      <c r="C553" s="14"/>
      <c r="D553" s="14"/>
    </row>
    <row r="554" spans="1:4">
      <c r="A554" s="14"/>
      <c r="B554" s="14"/>
      <c r="C554" s="14"/>
      <c r="D554" s="14"/>
    </row>
    <row r="555" spans="1:4">
      <c r="A555" s="14"/>
      <c r="B555" s="14"/>
      <c r="C555" s="14"/>
      <c r="D555" s="14"/>
    </row>
    <row r="556" spans="1:4">
      <c r="A556" s="14"/>
      <c r="B556" s="14"/>
      <c r="C556" s="14"/>
      <c r="D556" s="14"/>
    </row>
    <row r="557" spans="1:4">
      <c r="A557" s="14"/>
      <c r="B557" s="14"/>
      <c r="C557" s="14"/>
      <c r="D557" s="14"/>
    </row>
    <row r="558" spans="1:4">
      <c r="A558" s="14"/>
      <c r="B558" s="14"/>
      <c r="C558" s="14"/>
      <c r="D558" s="14"/>
    </row>
    <row r="559" spans="1:4">
      <c r="A559" s="14"/>
      <c r="B559" s="14"/>
      <c r="C559" s="14"/>
      <c r="D559" s="14"/>
    </row>
    <row r="560" spans="1:4">
      <c r="A560" s="14"/>
      <c r="B560" s="14"/>
      <c r="C560" s="14"/>
      <c r="D560" s="14"/>
    </row>
    <row r="561" spans="1:4">
      <c r="A561" s="14"/>
      <c r="B561" s="14"/>
      <c r="C561" s="14"/>
      <c r="D561" s="14"/>
    </row>
    <row r="562" spans="1:4">
      <c r="A562" s="14"/>
      <c r="B562" s="14"/>
      <c r="C562" s="14"/>
      <c r="D562" s="14"/>
    </row>
    <row r="563" spans="1:4">
      <c r="A563" s="14"/>
      <c r="B563" s="14"/>
      <c r="C563" s="14"/>
      <c r="D563" s="14"/>
    </row>
    <row r="564" spans="1:4">
      <c r="A564" s="14"/>
      <c r="B564" s="14"/>
      <c r="C564" s="14"/>
      <c r="D564" s="14"/>
    </row>
    <row r="565" spans="1:4">
      <c r="A565" s="14"/>
      <c r="B565" s="14"/>
      <c r="C565" s="14"/>
      <c r="D565" s="14"/>
    </row>
    <row r="566" spans="1:4">
      <c r="A566" s="14"/>
      <c r="B566" s="14"/>
      <c r="C566" s="14"/>
      <c r="D566" s="14"/>
    </row>
    <row r="567" spans="1:4">
      <c r="A567" s="14"/>
      <c r="B567" s="14"/>
      <c r="C567" s="14"/>
      <c r="D567" s="14"/>
    </row>
    <row r="568" spans="1:4">
      <c r="A568" s="14"/>
      <c r="B568" s="14"/>
      <c r="C568" s="14"/>
      <c r="D568" s="14"/>
    </row>
    <row r="569" spans="1:4">
      <c r="A569" s="14"/>
      <c r="B569" s="14"/>
      <c r="C569" s="14"/>
      <c r="D569" s="14"/>
    </row>
    <row r="570" spans="1:4">
      <c r="A570" s="14"/>
      <c r="B570" s="14"/>
      <c r="C570" s="14"/>
      <c r="D570" s="14"/>
    </row>
    <row r="571" spans="1:4">
      <c r="A571" s="14"/>
      <c r="B571" s="14"/>
      <c r="C571" s="14"/>
      <c r="D571" s="14"/>
    </row>
    <row r="572" spans="1:4">
      <c r="A572" s="14"/>
      <c r="B572" s="14"/>
      <c r="C572" s="14"/>
      <c r="D572" s="14"/>
    </row>
    <row r="573" spans="1:4">
      <c r="A573" s="14"/>
      <c r="B573" s="14"/>
      <c r="C573" s="14"/>
      <c r="D573" s="14"/>
    </row>
    <row r="574" spans="1:4">
      <c r="A574" s="14"/>
      <c r="B574" s="14"/>
      <c r="C574" s="14"/>
      <c r="D574" s="14"/>
    </row>
    <row r="575" spans="1:4">
      <c r="A575" s="14"/>
      <c r="B575" s="14"/>
      <c r="C575" s="14"/>
      <c r="D575" s="14"/>
    </row>
    <row r="576" spans="1:4">
      <c r="A576" s="14"/>
      <c r="B576" s="14"/>
      <c r="C576" s="14"/>
      <c r="D576" s="14"/>
    </row>
    <row r="577" spans="1:4">
      <c r="A577" s="14"/>
      <c r="B577" s="14"/>
      <c r="C577" s="14"/>
      <c r="D577" s="14"/>
    </row>
    <row r="578" spans="1:4">
      <c r="A578" s="14"/>
      <c r="B578" s="14"/>
      <c r="C578" s="14"/>
      <c r="D578" s="14"/>
    </row>
    <row r="579" spans="1:4">
      <c r="A579" s="14"/>
      <c r="B579" s="14"/>
      <c r="C579" s="14"/>
      <c r="D579" s="14"/>
    </row>
    <row r="580" spans="1:4">
      <c r="A580" s="14"/>
      <c r="B580" s="14"/>
      <c r="C580" s="14"/>
      <c r="D580" s="14"/>
    </row>
    <row r="581" spans="1:4">
      <c r="A581" s="14"/>
      <c r="B581" s="14"/>
      <c r="C581" s="14"/>
      <c r="D581" s="14"/>
    </row>
    <row r="582" spans="1:4">
      <c r="A582" s="14"/>
      <c r="B582" s="14"/>
      <c r="C582" s="14"/>
      <c r="D582" s="14"/>
    </row>
    <row r="583" spans="1:4">
      <c r="A583" s="14"/>
      <c r="B583" s="14"/>
      <c r="C583" s="14"/>
      <c r="D583" s="14"/>
    </row>
    <row r="584" spans="1:4">
      <c r="A584" s="14"/>
      <c r="B584" s="14"/>
      <c r="C584" s="14"/>
      <c r="D584" s="14"/>
    </row>
    <row r="585" spans="1:4">
      <c r="A585" s="14"/>
      <c r="B585" s="14"/>
      <c r="C585" s="14"/>
      <c r="D585" s="14"/>
    </row>
    <row r="586" spans="1:4">
      <c r="A586" s="14"/>
      <c r="B586" s="14"/>
      <c r="C586" s="14"/>
      <c r="D586" s="14"/>
    </row>
    <row r="587" spans="1:4">
      <c r="A587" s="14"/>
      <c r="B587" s="14"/>
      <c r="C587" s="14"/>
      <c r="D587" s="14"/>
    </row>
    <row r="588" spans="1:4">
      <c r="A588" s="14"/>
      <c r="B588" s="14"/>
      <c r="C588" s="14"/>
      <c r="D588" s="14"/>
    </row>
    <row r="589" spans="1:4">
      <c r="A589" s="14"/>
      <c r="B589" s="14"/>
      <c r="C589" s="14"/>
      <c r="D589" s="14"/>
    </row>
    <row r="590" spans="1:4">
      <c r="A590" s="14"/>
      <c r="B590" s="14"/>
      <c r="C590" s="14"/>
      <c r="D590" s="14"/>
    </row>
    <row r="591" spans="1:4">
      <c r="A591" s="14"/>
      <c r="B591" s="14"/>
      <c r="C591" s="14"/>
      <c r="D591" s="14"/>
    </row>
    <row r="592" spans="1:4">
      <c r="A592" s="14"/>
      <c r="B592" s="14"/>
      <c r="C592" s="14"/>
      <c r="D592" s="14"/>
    </row>
    <row r="593" spans="1:4">
      <c r="A593" s="14"/>
      <c r="B593" s="14"/>
      <c r="C593" s="14"/>
      <c r="D593" s="14"/>
    </row>
    <row r="594" spans="1:4">
      <c r="A594" s="14"/>
      <c r="B594" s="14"/>
      <c r="C594" s="14"/>
      <c r="D594" s="14"/>
    </row>
    <row r="595" spans="1:4">
      <c r="A595" s="14"/>
      <c r="B595" s="14"/>
      <c r="C595" s="14"/>
      <c r="D595" s="14"/>
    </row>
    <row r="596" spans="1:4">
      <c r="A596" s="14"/>
      <c r="B596" s="14"/>
      <c r="C596" s="14"/>
      <c r="D596" s="14"/>
    </row>
    <row r="597" spans="1:4">
      <c r="A597" s="14"/>
      <c r="B597" s="14"/>
      <c r="C597" s="14"/>
      <c r="D597" s="14"/>
    </row>
    <row r="598" spans="1:4">
      <c r="A598" s="14"/>
      <c r="B598" s="14"/>
      <c r="C598" s="14"/>
      <c r="D598" s="14"/>
    </row>
    <row r="599" spans="1:4">
      <c r="A599" s="14"/>
      <c r="B599" s="14"/>
      <c r="C599" s="14"/>
      <c r="D599" s="14"/>
    </row>
    <row r="600" spans="1:4">
      <c r="A600" s="14"/>
      <c r="B600" s="14"/>
      <c r="C600" s="14"/>
      <c r="D600" s="14"/>
    </row>
    <row r="601" spans="1:4">
      <c r="A601" s="14"/>
      <c r="B601" s="14"/>
      <c r="C601" s="14"/>
      <c r="D601" s="14"/>
    </row>
    <row r="602" spans="1:4">
      <c r="A602" s="14"/>
      <c r="B602" s="14"/>
      <c r="C602" s="14"/>
      <c r="D602" s="14"/>
    </row>
    <row r="603" spans="1:4">
      <c r="A603" s="14"/>
      <c r="B603" s="14"/>
      <c r="C603" s="14"/>
      <c r="D603" s="14"/>
    </row>
    <row r="604" spans="1:4">
      <c r="A604" s="14"/>
      <c r="B604" s="14"/>
      <c r="C604" s="14"/>
      <c r="D604" s="14"/>
    </row>
    <row r="605" spans="1:4">
      <c r="A605" s="14"/>
      <c r="B605" s="14"/>
      <c r="C605" s="14"/>
      <c r="D605" s="14"/>
    </row>
    <row r="606" spans="1:4">
      <c r="A606" s="14"/>
      <c r="B606" s="14"/>
      <c r="C606" s="14"/>
      <c r="D606" s="14"/>
    </row>
    <row r="607" spans="1:4">
      <c r="A607" s="14"/>
      <c r="B607" s="14"/>
      <c r="C607" s="14"/>
      <c r="D607" s="14"/>
    </row>
    <row r="608" spans="1:4">
      <c r="A608" s="14"/>
      <c r="B608" s="14"/>
      <c r="C608" s="14"/>
      <c r="D608" s="14"/>
    </row>
    <row r="609" spans="1:4">
      <c r="A609" s="14"/>
      <c r="B609" s="14"/>
      <c r="C609" s="14"/>
      <c r="D609" s="14"/>
    </row>
    <row r="610" spans="1:4">
      <c r="A610" s="14"/>
      <c r="B610" s="14"/>
      <c r="C610" s="14"/>
      <c r="D610" s="14"/>
    </row>
    <row r="611" spans="1:4">
      <c r="A611" s="14"/>
      <c r="B611" s="14"/>
      <c r="C611" s="14"/>
      <c r="D611" s="14"/>
    </row>
    <row r="612" spans="1:4">
      <c r="A612" s="14"/>
      <c r="B612" s="14"/>
      <c r="C612" s="14"/>
      <c r="D612" s="14"/>
    </row>
    <row r="613" spans="1:4">
      <c r="A613" s="14"/>
      <c r="B613" s="14"/>
      <c r="C613" s="14"/>
      <c r="D613" s="14"/>
    </row>
    <row r="614" spans="1:4">
      <c r="A614" s="14"/>
      <c r="B614" s="14"/>
      <c r="C614" s="14"/>
      <c r="D614" s="14"/>
    </row>
    <row r="615" spans="1:4">
      <c r="A615" s="14"/>
      <c r="B615" s="14"/>
      <c r="C615" s="14"/>
      <c r="D615" s="14"/>
    </row>
    <row r="616" spans="1:4">
      <c r="A616" s="14"/>
      <c r="B616" s="14"/>
      <c r="C616" s="14"/>
      <c r="D616" s="14"/>
    </row>
    <row r="617" spans="1:4">
      <c r="A617" s="14"/>
      <c r="B617" s="14"/>
      <c r="C617" s="14"/>
      <c r="D617" s="14"/>
    </row>
    <row r="618" spans="1:4">
      <c r="A618" s="14"/>
      <c r="B618" s="14"/>
      <c r="C618" s="14"/>
      <c r="D618" s="14"/>
    </row>
    <row r="619" spans="1:4">
      <c r="A619" s="14"/>
      <c r="B619" s="14"/>
      <c r="C619" s="14"/>
      <c r="D619" s="14"/>
    </row>
    <row r="620" spans="1:4">
      <c r="A620" s="14"/>
      <c r="B620" s="14"/>
      <c r="C620" s="14"/>
      <c r="D620" s="14"/>
    </row>
    <row r="621" spans="1:4">
      <c r="A621" s="14"/>
      <c r="B621" s="14"/>
      <c r="C621" s="14"/>
      <c r="D621" s="14"/>
    </row>
    <row r="622" spans="1:4">
      <c r="A622" s="14"/>
      <c r="B622" s="14"/>
      <c r="C622" s="14"/>
      <c r="D622" s="14"/>
    </row>
    <row r="623" spans="1:4">
      <c r="A623" s="14"/>
      <c r="B623" s="14"/>
      <c r="C623" s="14"/>
      <c r="D623" s="14"/>
    </row>
    <row r="624" spans="1:4">
      <c r="A624" s="14"/>
      <c r="B624" s="14"/>
      <c r="C624" s="14"/>
      <c r="D624" s="14"/>
    </row>
    <row r="625" spans="1:4">
      <c r="A625" s="14"/>
      <c r="B625" s="14"/>
      <c r="C625" s="14"/>
      <c r="D625" s="14"/>
    </row>
    <row r="626" spans="1:4">
      <c r="A626" s="14"/>
      <c r="B626" s="14"/>
      <c r="C626" s="14"/>
      <c r="D626" s="14"/>
    </row>
    <row r="627" spans="1:4">
      <c r="A627" s="14"/>
      <c r="B627" s="14"/>
      <c r="C627" s="14"/>
      <c r="D627" s="14"/>
    </row>
    <row r="628" spans="1:4">
      <c r="A628" s="14"/>
      <c r="B628" s="14"/>
      <c r="C628" s="14"/>
      <c r="D628" s="14"/>
    </row>
    <row r="629" spans="1:4">
      <c r="A629" s="14"/>
      <c r="B629" s="14"/>
      <c r="C629" s="14"/>
      <c r="D629" s="14"/>
    </row>
    <row r="630" spans="1:4">
      <c r="A630" s="14"/>
      <c r="B630" s="14"/>
      <c r="C630" s="14"/>
      <c r="D630" s="14"/>
    </row>
    <row r="631" spans="1:4">
      <c r="A631" s="14"/>
      <c r="B631" s="14"/>
      <c r="C631" s="14"/>
      <c r="D631" s="14"/>
    </row>
    <row r="632" spans="1:4">
      <c r="A632" s="14"/>
      <c r="B632" s="14"/>
      <c r="C632" s="14"/>
      <c r="D632" s="14"/>
    </row>
    <row r="633" spans="1:4">
      <c r="A633" s="14"/>
      <c r="B633" s="14"/>
      <c r="C633" s="14"/>
      <c r="D633" s="14"/>
    </row>
    <row r="634" spans="1:4">
      <c r="A634" s="14"/>
      <c r="B634" s="14"/>
      <c r="C634" s="14"/>
      <c r="D634" s="14"/>
    </row>
    <row r="635" spans="1:4">
      <c r="A635" s="14"/>
      <c r="B635" s="14"/>
      <c r="C635" s="14"/>
      <c r="D635" s="14"/>
    </row>
    <row r="636" spans="1:4">
      <c r="A636" s="14"/>
      <c r="B636" s="14"/>
      <c r="C636" s="14"/>
      <c r="D636" s="14"/>
    </row>
    <row r="637" spans="1:4">
      <c r="A637" s="14"/>
      <c r="B637" s="14"/>
      <c r="C637" s="14"/>
      <c r="D637" s="14"/>
    </row>
    <row r="638" spans="1:4">
      <c r="A638" s="14"/>
      <c r="B638" s="14"/>
      <c r="C638" s="14"/>
      <c r="D638" s="14"/>
    </row>
    <row r="639" spans="1:4">
      <c r="A639" s="14"/>
      <c r="B639" s="14"/>
      <c r="C639" s="14"/>
      <c r="D639" s="14"/>
    </row>
    <row r="640" spans="1:4">
      <c r="A640" s="14"/>
      <c r="B640" s="14"/>
      <c r="C640" s="14"/>
      <c r="D640" s="14"/>
    </row>
    <row r="641" spans="1:4">
      <c r="A641" s="14"/>
      <c r="B641" s="14"/>
      <c r="C641" s="14"/>
      <c r="D641" s="14"/>
    </row>
    <row r="642" spans="1:4">
      <c r="A642" s="14"/>
      <c r="B642" s="14"/>
      <c r="C642" s="14"/>
      <c r="D642" s="14"/>
    </row>
    <row r="643" spans="1:4">
      <c r="A643" s="14"/>
      <c r="B643" s="14"/>
      <c r="C643" s="14"/>
      <c r="D643" s="14"/>
    </row>
    <row r="644" spans="1:4">
      <c r="A644" s="14"/>
      <c r="B644" s="14"/>
      <c r="C644" s="14"/>
      <c r="D644" s="14"/>
    </row>
    <row r="645" spans="1:4">
      <c r="A645" s="14"/>
      <c r="B645" s="14"/>
      <c r="C645" s="14"/>
      <c r="D645" s="14"/>
    </row>
    <row r="646" spans="1:4">
      <c r="A646" s="14"/>
      <c r="B646" s="14"/>
      <c r="C646" s="14"/>
      <c r="D646" s="14"/>
    </row>
    <row r="647" spans="1:4">
      <c r="A647" s="14"/>
      <c r="B647" s="14"/>
      <c r="C647" s="14"/>
      <c r="D647" s="14"/>
    </row>
    <row r="648" spans="1:4">
      <c r="A648" s="14"/>
      <c r="B648" s="14"/>
      <c r="C648" s="14"/>
      <c r="D648" s="14"/>
    </row>
    <row r="649" spans="1:4">
      <c r="A649" s="14"/>
      <c r="B649" s="14"/>
      <c r="C649" s="14"/>
      <c r="D649" s="14"/>
    </row>
    <row r="650" spans="1:4">
      <c r="A650" s="14"/>
      <c r="B650" s="14"/>
      <c r="C650" s="14"/>
      <c r="D650" s="14"/>
    </row>
    <row r="651" spans="1:4">
      <c r="A651" s="14"/>
      <c r="B651" s="14"/>
      <c r="C651" s="14"/>
      <c r="D651" s="14"/>
    </row>
    <row r="652" spans="1:4">
      <c r="A652" s="14"/>
      <c r="B652" s="14"/>
      <c r="C652" s="14"/>
      <c r="D652" s="14"/>
    </row>
    <row r="653" spans="1:4">
      <c r="A653" s="14"/>
      <c r="B653" s="14"/>
      <c r="C653" s="14"/>
      <c r="D653" s="14"/>
    </row>
    <row r="654" spans="1:4">
      <c r="A654" s="14"/>
      <c r="B654" s="14"/>
      <c r="C654" s="14"/>
      <c r="D654" s="14"/>
    </row>
    <row r="655" spans="1:4">
      <c r="A655" s="14"/>
      <c r="B655" s="14"/>
      <c r="C655" s="14"/>
      <c r="D655" s="14"/>
    </row>
    <row r="656" spans="1:4">
      <c r="A656" s="14"/>
      <c r="B656" s="14"/>
      <c r="C656" s="14"/>
      <c r="D656" s="14"/>
    </row>
    <row r="657" spans="1:4">
      <c r="A657" s="14"/>
      <c r="B657" s="14"/>
      <c r="C657" s="14"/>
      <c r="D657" s="14"/>
    </row>
    <row r="658" spans="1:4">
      <c r="A658" s="14"/>
      <c r="B658" s="14"/>
      <c r="C658" s="14"/>
      <c r="D658" s="14"/>
    </row>
    <row r="659" spans="1:4">
      <c r="A659" s="14"/>
      <c r="B659" s="14"/>
      <c r="C659" s="14"/>
      <c r="D659" s="14"/>
    </row>
    <row r="660" spans="1:4">
      <c r="A660" s="14"/>
      <c r="B660" s="14"/>
      <c r="C660" s="14"/>
      <c r="D660" s="14"/>
    </row>
    <row r="661" spans="1:4">
      <c r="A661" s="14"/>
      <c r="B661" s="14"/>
      <c r="C661" s="14"/>
      <c r="D661" s="14"/>
    </row>
    <row r="662" spans="1:4">
      <c r="A662" s="14"/>
      <c r="B662" s="14"/>
      <c r="C662" s="14"/>
      <c r="D662" s="14"/>
    </row>
    <row r="663" spans="1:4">
      <c r="A663" s="14"/>
      <c r="B663" s="14"/>
      <c r="C663" s="14"/>
      <c r="D663" s="14"/>
    </row>
    <row r="664" spans="1:4">
      <c r="A664" s="14"/>
      <c r="B664" s="14"/>
      <c r="C664" s="14"/>
      <c r="D664" s="14"/>
    </row>
    <row r="665" spans="1:4">
      <c r="A665" s="14"/>
      <c r="B665" s="14"/>
      <c r="C665" s="14"/>
      <c r="D665" s="14"/>
    </row>
    <row r="666" spans="1:4">
      <c r="A666" s="14"/>
      <c r="B666" s="14"/>
      <c r="C666" s="14"/>
      <c r="D666" s="14"/>
    </row>
    <row r="667" spans="1:4">
      <c r="A667" s="14"/>
      <c r="B667" s="14"/>
      <c r="C667" s="14"/>
      <c r="D667" s="14"/>
    </row>
    <row r="668" spans="1:4">
      <c r="A668" s="14"/>
      <c r="B668" s="14"/>
      <c r="C668" s="14"/>
      <c r="D668" s="14"/>
    </row>
    <row r="669" spans="1:4">
      <c r="A669" s="14"/>
      <c r="B669" s="14"/>
      <c r="C669" s="14"/>
      <c r="D669" s="14"/>
    </row>
    <row r="670" spans="1:4">
      <c r="A670" s="14"/>
      <c r="B670" s="14"/>
      <c r="C670" s="14"/>
      <c r="D670" s="14"/>
    </row>
    <row r="671" spans="1:4">
      <c r="A671" s="14"/>
      <c r="B671" s="14"/>
      <c r="C671" s="14"/>
      <c r="D671" s="14"/>
    </row>
    <row r="672" spans="1:4">
      <c r="A672" s="14"/>
      <c r="B672" s="14"/>
      <c r="C672" s="14"/>
      <c r="D672" s="14"/>
    </row>
    <row r="673" spans="1:4">
      <c r="A673" s="14"/>
      <c r="B673" s="14"/>
      <c r="C673" s="14"/>
      <c r="D673" s="14"/>
    </row>
    <row r="674" spans="1:4">
      <c r="A674" s="14"/>
      <c r="B674" s="14"/>
      <c r="C674" s="14"/>
      <c r="D674" s="14"/>
    </row>
    <row r="675" spans="1:4">
      <c r="A675" s="14"/>
      <c r="B675" s="14"/>
      <c r="C675" s="14"/>
      <c r="D675" s="14"/>
    </row>
    <row r="676" spans="1:4">
      <c r="A676" s="14"/>
      <c r="B676" s="14"/>
      <c r="C676" s="14"/>
      <c r="D676" s="14"/>
    </row>
    <row r="677" spans="1:4">
      <c r="A677" s="14"/>
      <c r="B677" s="14"/>
      <c r="C677" s="14"/>
      <c r="D677" s="14"/>
    </row>
    <row r="678" spans="1:4">
      <c r="A678" s="14"/>
      <c r="B678" s="14"/>
      <c r="C678" s="14"/>
      <c r="D678" s="14"/>
    </row>
    <row r="679" spans="1:4">
      <c r="A679" s="14"/>
      <c r="B679" s="14"/>
      <c r="C679" s="14"/>
      <c r="D679" s="14"/>
    </row>
    <row r="680" spans="1:4">
      <c r="A680" s="14"/>
      <c r="B680" s="14"/>
      <c r="C680" s="14"/>
      <c r="D680" s="14"/>
    </row>
    <row r="681" spans="1:4">
      <c r="A681" s="14"/>
      <c r="B681" s="14"/>
      <c r="C681" s="14"/>
      <c r="D681" s="14"/>
    </row>
    <row r="682" spans="1:4">
      <c r="A682" s="14"/>
      <c r="B682" s="14"/>
      <c r="C682" s="14"/>
      <c r="D682" s="14"/>
    </row>
    <row r="683" spans="1:4">
      <c r="A683" s="14"/>
      <c r="B683" s="14"/>
      <c r="C683" s="14"/>
      <c r="D683" s="14"/>
    </row>
    <row r="684" spans="1:4">
      <c r="A684" s="14"/>
      <c r="B684" s="14"/>
      <c r="C684" s="14"/>
      <c r="D684" s="14"/>
    </row>
    <row r="685" spans="1:4">
      <c r="A685" s="14"/>
      <c r="B685" s="14"/>
      <c r="C685" s="14"/>
      <c r="D685" s="14"/>
    </row>
    <row r="686" spans="1:4">
      <c r="A686" s="14"/>
      <c r="B686" s="14"/>
      <c r="C686" s="14"/>
      <c r="D686" s="14"/>
    </row>
    <row r="687" spans="1:4">
      <c r="A687" s="14"/>
      <c r="B687" s="14"/>
      <c r="C687" s="14"/>
      <c r="D687" s="14"/>
    </row>
    <row r="688" spans="1:4">
      <c r="A688" s="14"/>
      <c r="B688" s="14"/>
      <c r="C688" s="14"/>
      <c r="D688" s="14"/>
    </row>
    <row r="689" spans="1:4">
      <c r="A689" s="14"/>
      <c r="B689" s="14"/>
      <c r="C689" s="14"/>
      <c r="D689" s="14"/>
    </row>
    <row r="690" spans="1:4">
      <c r="A690" s="14"/>
      <c r="B690" s="14"/>
      <c r="C690" s="14"/>
      <c r="D690" s="14"/>
    </row>
    <row r="691" spans="1:4">
      <c r="A691" s="14"/>
      <c r="B691" s="14"/>
      <c r="C691" s="14"/>
      <c r="D691" s="14"/>
    </row>
    <row r="692" spans="1:4">
      <c r="A692" s="14"/>
      <c r="B692" s="14"/>
      <c r="C692" s="14"/>
      <c r="D692" s="14"/>
    </row>
    <row r="693" spans="1:4">
      <c r="A693" s="14"/>
      <c r="B693" s="14"/>
      <c r="C693" s="14"/>
      <c r="D693" s="14"/>
    </row>
    <row r="694" spans="1:4">
      <c r="A694" s="14"/>
      <c r="B694" s="14"/>
      <c r="C694" s="14"/>
      <c r="D694" s="14"/>
    </row>
    <row r="695" spans="1:4">
      <c r="A695" s="14"/>
      <c r="B695" s="14"/>
      <c r="C695" s="14"/>
      <c r="D695" s="14"/>
    </row>
    <row r="696" spans="1:4">
      <c r="A696" s="14"/>
      <c r="B696" s="14"/>
      <c r="C696" s="14"/>
      <c r="D696" s="14"/>
    </row>
    <row r="697" spans="1:4">
      <c r="A697" s="14"/>
      <c r="B697" s="14"/>
      <c r="C697" s="14"/>
      <c r="D697" s="14"/>
    </row>
    <row r="698" spans="1:4">
      <c r="A698" s="14"/>
      <c r="B698" s="14"/>
      <c r="C698" s="14"/>
      <c r="D698" s="14"/>
    </row>
    <row r="699" spans="1:4">
      <c r="A699" s="14"/>
      <c r="B699" s="14"/>
      <c r="C699" s="14"/>
      <c r="D699" s="14"/>
    </row>
    <row r="700" spans="1:4">
      <c r="A700" s="14"/>
      <c r="B700" s="14"/>
      <c r="C700" s="14"/>
      <c r="D700" s="14"/>
    </row>
    <row r="701" spans="1:4">
      <c r="A701" s="14"/>
      <c r="B701" s="14"/>
      <c r="C701" s="14"/>
      <c r="D701" s="14"/>
    </row>
    <row r="702" spans="1:4">
      <c r="A702" s="14"/>
      <c r="B702" s="14"/>
      <c r="C702" s="14"/>
      <c r="D702" s="14"/>
    </row>
    <row r="703" spans="1:4">
      <c r="A703" s="14"/>
      <c r="B703" s="14"/>
      <c r="C703" s="14"/>
      <c r="D703" s="14"/>
    </row>
    <row r="704" spans="1:4">
      <c r="A704" s="14"/>
      <c r="B704" s="14"/>
      <c r="C704" s="14"/>
      <c r="D704" s="14"/>
    </row>
    <row r="705" spans="1:4">
      <c r="A705" s="14"/>
      <c r="B705" s="14"/>
      <c r="C705" s="14"/>
      <c r="D705" s="14"/>
    </row>
    <row r="706" spans="1:4">
      <c r="A706" s="14"/>
      <c r="B706" s="14"/>
      <c r="C706" s="14"/>
      <c r="D706" s="14"/>
    </row>
    <row r="707" spans="1:4">
      <c r="A707" s="14"/>
      <c r="B707" s="14"/>
      <c r="C707" s="14"/>
      <c r="D707" s="14"/>
    </row>
    <row r="708" spans="1:4">
      <c r="A708" s="14"/>
      <c r="B708" s="14"/>
      <c r="C708" s="14"/>
      <c r="D708" s="14"/>
    </row>
    <row r="709" spans="1:4">
      <c r="A709" s="14"/>
      <c r="B709" s="14"/>
      <c r="C709" s="14"/>
      <c r="D709" s="14"/>
    </row>
    <row r="710" spans="1:4">
      <c r="A710" s="14"/>
      <c r="B710" s="14"/>
      <c r="C710" s="14"/>
      <c r="D710" s="14"/>
    </row>
    <row r="711" spans="1:4">
      <c r="A711" s="14"/>
      <c r="B711" s="14"/>
      <c r="C711" s="14"/>
      <c r="D711" s="14"/>
    </row>
    <row r="712" spans="1:4">
      <c r="A712" s="14"/>
      <c r="B712" s="14"/>
      <c r="C712" s="14"/>
      <c r="D712" s="14"/>
    </row>
    <row r="713" spans="1:4">
      <c r="A713" s="14"/>
      <c r="B713" s="14"/>
      <c r="C713" s="14"/>
      <c r="D713" s="14"/>
    </row>
    <row r="714" spans="1:4">
      <c r="A714" s="14"/>
      <c r="B714" s="14"/>
      <c r="C714" s="14"/>
      <c r="D714" s="14"/>
    </row>
    <row r="715" spans="1:4">
      <c r="A715" s="14"/>
      <c r="B715" s="14"/>
      <c r="C715" s="14"/>
      <c r="D715" s="14"/>
    </row>
    <row r="716" spans="1:4">
      <c r="A716" s="14"/>
      <c r="B716" s="14"/>
      <c r="C716" s="14"/>
      <c r="D716" s="14"/>
    </row>
    <row r="717" spans="1:4">
      <c r="A717" s="14"/>
      <c r="B717" s="14"/>
      <c r="C717" s="14"/>
      <c r="D717" s="14"/>
    </row>
    <row r="718" spans="1:4">
      <c r="A718" s="14"/>
      <c r="B718" s="14"/>
      <c r="C718" s="14"/>
      <c r="D718" s="14"/>
    </row>
    <row r="719" spans="1:4">
      <c r="A719" s="14"/>
      <c r="B719" s="14"/>
      <c r="C719" s="14"/>
      <c r="D719" s="14"/>
    </row>
    <row r="720" spans="1:4">
      <c r="A720" s="14"/>
      <c r="B720" s="14"/>
      <c r="C720" s="14"/>
      <c r="D720" s="14"/>
    </row>
    <row r="721" spans="1:4">
      <c r="A721" s="14"/>
      <c r="B721" s="14"/>
      <c r="C721" s="14"/>
      <c r="D721" s="14"/>
    </row>
    <row r="722" spans="1:4">
      <c r="A722" s="14"/>
      <c r="B722" s="14"/>
      <c r="C722" s="14"/>
      <c r="D722" s="14"/>
    </row>
    <row r="723" spans="1:4">
      <c r="A723" s="14"/>
      <c r="B723" s="14"/>
      <c r="C723" s="14"/>
      <c r="D723" s="14"/>
    </row>
    <row r="724" spans="1:4">
      <c r="A724" s="14"/>
      <c r="B724" s="14"/>
      <c r="C724" s="14"/>
      <c r="D724" s="14"/>
    </row>
    <row r="725" spans="1:4">
      <c r="A725" s="14"/>
      <c r="B725" s="14"/>
      <c r="C725" s="14"/>
      <c r="D725" s="14"/>
    </row>
    <row r="726" spans="1:4">
      <c r="A726" s="14"/>
      <c r="B726" s="14"/>
      <c r="C726" s="14"/>
      <c r="D726" s="14"/>
    </row>
    <row r="727" spans="1:4">
      <c r="A727" s="14"/>
      <c r="B727" s="14"/>
      <c r="C727" s="14"/>
      <c r="D727" s="14"/>
    </row>
    <row r="728" spans="1:4">
      <c r="A728" s="14"/>
      <c r="B728" s="14"/>
      <c r="C728" s="14"/>
      <c r="D728" s="14"/>
    </row>
    <row r="729" spans="1:4">
      <c r="A729" s="14"/>
      <c r="B729" s="14"/>
      <c r="C729" s="14"/>
      <c r="D729" s="14"/>
    </row>
    <row r="730" spans="1:4">
      <c r="A730" s="14"/>
      <c r="B730" s="14"/>
      <c r="C730" s="14"/>
      <c r="D730" s="14"/>
    </row>
    <row r="731" spans="1:4">
      <c r="A731" s="14"/>
      <c r="B731" s="14"/>
      <c r="C731" s="14"/>
      <c r="D731" s="14"/>
    </row>
    <row r="732" spans="1:4">
      <c r="A732" s="14"/>
      <c r="B732" s="14"/>
      <c r="C732" s="14"/>
      <c r="D732" s="14"/>
    </row>
    <row r="733" spans="1:4">
      <c r="A733" s="14"/>
      <c r="B733" s="14"/>
      <c r="C733" s="14"/>
      <c r="D733" s="14"/>
    </row>
    <row r="734" spans="1:4">
      <c r="A734" s="14"/>
      <c r="B734" s="14"/>
      <c r="C734" s="14"/>
      <c r="D734" s="14"/>
    </row>
    <row r="735" spans="1:4">
      <c r="A735" s="14"/>
      <c r="B735" s="14"/>
      <c r="C735" s="14"/>
      <c r="D735" s="14"/>
    </row>
    <row r="736" spans="1:4">
      <c r="A736" s="14"/>
      <c r="B736" s="14"/>
      <c r="C736" s="14"/>
      <c r="D736" s="14"/>
    </row>
    <row r="737" spans="1:4">
      <c r="A737" s="14"/>
      <c r="B737" s="14"/>
      <c r="C737" s="14"/>
      <c r="D737" s="14"/>
    </row>
    <row r="738" spans="1:4">
      <c r="A738" s="14"/>
      <c r="B738" s="14"/>
      <c r="C738" s="14"/>
      <c r="D738" s="14"/>
    </row>
    <row r="739" spans="1:4">
      <c r="A739" s="14"/>
      <c r="B739" s="14"/>
      <c r="C739" s="14"/>
      <c r="D739" s="14"/>
    </row>
    <row r="740" spans="1:4">
      <c r="A740" s="14"/>
      <c r="B740" s="14"/>
      <c r="C740" s="14"/>
      <c r="D740" s="14"/>
    </row>
    <row r="741" spans="1:4">
      <c r="A741" s="14"/>
      <c r="B741" s="14"/>
      <c r="C741" s="14"/>
      <c r="D741" s="14"/>
    </row>
    <row r="742" spans="1:4">
      <c r="A742" s="14"/>
      <c r="B742" s="14"/>
      <c r="C742" s="14"/>
      <c r="D742" s="14"/>
    </row>
    <row r="743" spans="1:4">
      <c r="A743" s="14"/>
      <c r="B743" s="14"/>
      <c r="C743" s="14"/>
      <c r="D743" s="14"/>
    </row>
    <row r="744" spans="1:4">
      <c r="A744" s="14"/>
      <c r="B744" s="14"/>
      <c r="C744" s="14"/>
      <c r="D744" s="14"/>
    </row>
    <row r="745" spans="1:4">
      <c r="A745" s="14"/>
      <c r="B745" s="14"/>
      <c r="C745" s="14"/>
      <c r="D745" s="14"/>
    </row>
    <row r="746" spans="1:4">
      <c r="A746" s="14"/>
      <c r="B746" s="14"/>
      <c r="C746" s="14"/>
      <c r="D746" s="14"/>
    </row>
    <row r="747" spans="1:4">
      <c r="A747" s="14"/>
      <c r="B747" s="14"/>
      <c r="C747" s="14"/>
      <c r="D747" s="14"/>
    </row>
    <row r="748" spans="1:4">
      <c r="A748" s="14"/>
      <c r="B748" s="14"/>
      <c r="C748" s="14"/>
      <c r="D748" s="14"/>
    </row>
    <row r="749" spans="1:4">
      <c r="A749" s="14"/>
      <c r="B749" s="14"/>
      <c r="C749" s="14"/>
      <c r="D749" s="14"/>
    </row>
    <row r="750" spans="1:4">
      <c r="A750" s="14"/>
      <c r="B750" s="14"/>
      <c r="C750" s="14"/>
      <c r="D750" s="14"/>
    </row>
    <row r="751" spans="1:4">
      <c r="A751" s="14"/>
      <c r="B751" s="14"/>
      <c r="C751" s="14"/>
      <c r="D751" s="14"/>
    </row>
    <row r="752" spans="1:4">
      <c r="A752" s="14"/>
      <c r="B752" s="14"/>
      <c r="C752" s="14"/>
      <c r="D752" s="14"/>
    </row>
    <row r="753" spans="1:4">
      <c r="A753" s="14"/>
      <c r="B753" s="14"/>
      <c r="C753" s="14"/>
      <c r="D753" s="14"/>
    </row>
    <row r="754" spans="1:4">
      <c r="A754" s="14"/>
      <c r="B754" s="14"/>
      <c r="C754" s="14"/>
      <c r="D754" s="14"/>
    </row>
    <row r="755" spans="1:4">
      <c r="A755" s="14"/>
      <c r="B755" s="14"/>
      <c r="C755" s="14"/>
      <c r="D755" s="14"/>
    </row>
    <row r="756" spans="1:4">
      <c r="A756" s="14"/>
      <c r="B756" s="14"/>
      <c r="C756" s="14"/>
      <c r="D756" s="14"/>
    </row>
    <row r="757" spans="1:4">
      <c r="A757" s="14"/>
      <c r="B757" s="14"/>
      <c r="C757" s="14"/>
      <c r="D757" s="14"/>
    </row>
    <row r="758" spans="1:4">
      <c r="A758" s="14"/>
      <c r="B758" s="14"/>
      <c r="C758" s="14"/>
      <c r="D758" s="14"/>
    </row>
    <row r="759" spans="1:4">
      <c r="A759" s="14"/>
      <c r="B759" s="14"/>
      <c r="C759" s="14"/>
      <c r="D759" s="14"/>
    </row>
    <row r="760" spans="1:4">
      <c r="A760" s="14"/>
      <c r="B760" s="14"/>
      <c r="C760" s="14"/>
      <c r="D760" s="14"/>
    </row>
    <row r="761" spans="1:4">
      <c r="A761" s="14"/>
      <c r="B761" s="14"/>
      <c r="C761" s="14"/>
      <c r="D761" s="14"/>
    </row>
    <row r="762" spans="1:4">
      <c r="A762" s="14"/>
      <c r="B762" s="14"/>
      <c r="C762" s="14"/>
      <c r="D762" s="14"/>
    </row>
    <row r="763" spans="1:4">
      <c r="A763" s="14"/>
      <c r="B763" s="14"/>
      <c r="C763" s="14"/>
      <c r="D763" s="14"/>
    </row>
    <row r="764" spans="1:4">
      <c r="A764" s="14"/>
      <c r="B764" s="14"/>
      <c r="C764" s="14"/>
      <c r="D764" s="14"/>
    </row>
    <row r="765" spans="1:4">
      <c r="A765" s="14"/>
      <c r="B765" s="14"/>
      <c r="C765" s="14"/>
      <c r="D765" s="14"/>
    </row>
    <row r="766" spans="1:4">
      <c r="A766" s="14"/>
      <c r="B766" s="14"/>
      <c r="C766" s="14"/>
      <c r="D766" s="14"/>
    </row>
    <row r="767" spans="1:4">
      <c r="A767" s="14"/>
      <c r="B767" s="14"/>
      <c r="C767" s="14"/>
      <c r="D767" s="14"/>
    </row>
    <row r="768" spans="1:4">
      <c r="A768" s="14"/>
      <c r="B768" s="14"/>
      <c r="C768" s="14"/>
      <c r="D768" s="14"/>
    </row>
    <row r="769" spans="1:4">
      <c r="A769" s="14"/>
      <c r="B769" s="14"/>
      <c r="C769" s="14"/>
      <c r="D769" s="14"/>
    </row>
    <row r="770" spans="1:4">
      <c r="A770" s="14"/>
      <c r="B770" s="14"/>
      <c r="C770" s="14"/>
      <c r="D770" s="14"/>
    </row>
    <row r="771" spans="1:4">
      <c r="A771" s="14"/>
      <c r="B771" s="14"/>
      <c r="C771" s="14"/>
      <c r="D771" s="14"/>
    </row>
    <row r="772" spans="1:4">
      <c r="A772" s="14"/>
      <c r="B772" s="14"/>
      <c r="C772" s="14"/>
      <c r="D772" s="14"/>
    </row>
    <row r="773" spans="1:4">
      <c r="A773" s="14"/>
      <c r="B773" s="14"/>
      <c r="C773" s="14"/>
      <c r="D773" s="14"/>
    </row>
    <row r="774" spans="1:4">
      <c r="A774" s="14"/>
      <c r="B774" s="14"/>
      <c r="C774" s="14"/>
      <c r="D774" s="14"/>
    </row>
    <row r="775" spans="1:4">
      <c r="A775" s="14"/>
      <c r="B775" s="14"/>
      <c r="C775" s="14"/>
      <c r="D775" s="14"/>
    </row>
    <row r="776" spans="1:4">
      <c r="A776" s="14"/>
      <c r="B776" s="14"/>
      <c r="C776" s="14"/>
      <c r="D776" s="14"/>
    </row>
    <row r="777" spans="1:4">
      <c r="A777" s="14"/>
      <c r="B777" s="14"/>
      <c r="C777" s="14"/>
      <c r="D777" s="14"/>
    </row>
    <row r="778" spans="1:4">
      <c r="A778" s="14"/>
      <c r="B778" s="14"/>
      <c r="C778" s="14"/>
      <c r="D778" s="14"/>
    </row>
    <row r="779" spans="1:4">
      <c r="A779" s="14"/>
      <c r="B779" s="14"/>
      <c r="C779" s="14"/>
      <c r="D779" s="14"/>
    </row>
    <row r="780" spans="1:4">
      <c r="A780" s="14"/>
      <c r="B780" s="14"/>
      <c r="C780" s="14"/>
      <c r="D780" s="14"/>
    </row>
    <row r="781" spans="1:4">
      <c r="A781" s="14"/>
      <c r="B781" s="14"/>
      <c r="C781" s="14"/>
      <c r="D781" s="14"/>
    </row>
    <row r="782" spans="1:4">
      <c r="A782" s="14"/>
      <c r="B782" s="14"/>
      <c r="C782" s="14"/>
      <c r="D782" s="14"/>
    </row>
    <row r="783" spans="1:4">
      <c r="A783" s="14"/>
      <c r="B783" s="14"/>
      <c r="C783" s="14"/>
      <c r="D783" s="14"/>
    </row>
    <row r="784" spans="1:4">
      <c r="A784" s="14"/>
      <c r="B784" s="14"/>
      <c r="C784" s="14"/>
      <c r="D784" s="14"/>
    </row>
    <row r="785" spans="1:4">
      <c r="A785" s="14"/>
      <c r="B785" s="14"/>
      <c r="C785" s="14"/>
      <c r="D785" s="14"/>
    </row>
    <row r="786" spans="1:4">
      <c r="A786" s="14"/>
      <c r="B786" s="14"/>
      <c r="C786" s="14"/>
      <c r="D786" s="14"/>
    </row>
    <row r="787" spans="1:4">
      <c r="A787" s="14"/>
      <c r="B787" s="14"/>
      <c r="C787" s="14"/>
      <c r="D787" s="14"/>
    </row>
    <row r="788" spans="1:4">
      <c r="A788" s="14"/>
      <c r="B788" s="14"/>
      <c r="C788" s="14"/>
      <c r="D788" s="14"/>
    </row>
    <row r="789" spans="1:4">
      <c r="A789" s="14"/>
      <c r="B789" s="14"/>
      <c r="C789" s="14"/>
      <c r="D789" s="14"/>
    </row>
    <row r="790" spans="1:4">
      <c r="A790" s="14"/>
      <c r="B790" s="14"/>
      <c r="C790" s="14"/>
      <c r="D790" s="14"/>
    </row>
    <row r="791" spans="1:4">
      <c r="A791" s="14"/>
      <c r="B791" s="14"/>
      <c r="C791" s="14"/>
      <c r="D791" s="14"/>
    </row>
    <row r="792" spans="1:4">
      <c r="A792" s="14"/>
      <c r="B792" s="14"/>
      <c r="C792" s="14"/>
      <c r="D792" s="14"/>
    </row>
    <row r="793" spans="1:4">
      <c r="A793" s="14"/>
      <c r="B793" s="14"/>
      <c r="C793" s="14"/>
      <c r="D793" s="14"/>
    </row>
    <row r="794" spans="1:4">
      <c r="A794" s="14"/>
      <c r="B794" s="14"/>
      <c r="C794" s="14"/>
      <c r="D794" s="14"/>
    </row>
    <row r="795" spans="1:4">
      <c r="A795" s="14"/>
      <c r="B795" s="14"/>
      <c r="C795" s="14"/>
      <c r="D795" s="14"/>
    </row>
    <row r="796" spans="1:4">
      <c r="A796" s="14"/>
      <c r="B796" s="14"/>
      <c r="C796" s="14"/>
      <c r="D796" s="14"/>
    </row>
    <row r="797" spans="1:4">
      <c r="A797" s="14"/>
      <c r="B797" s="14"/>
      <c r="C797" s="14"/>
      <c r="D797" s="14"/>
    </row>
    <row r="798" spans="1:4">
      <c r="A798" s="14"/>
      <c r="B798" s="14"/>
      <c r="C798" s="14"/>
      <c r="D798" s="14"/>
    </row>
    <row r="799" spans="1:4">
      <c r="A799" s="14"/>
      <c r="B799" s="14"/>
      <c r="C799" s="14"/>
      <c r="D799" s="14"/>
    </row>
    <row r="800" spans="1:4">
      <c r="A800" s="14"/>
      <c r="B800" s="14"/>
      <c r="C800" s="14"/>
      <c r="D800" s="14"/>
    </row>
    <row r="801" spans="1:4">
      <c r="A801" s="14"/>
      <c r="B801" s="14"/>
      <c r="C801" s="14"/>
      <c r="D801" s="14"/>
    </row>
    <row r="802" spans="1:4">
      <c r="A802" s="14"/>
      <c r="B802" s="14"/>
      <c r="C802" s="14"/>
      <c r="D802" s="14"/>
    </row>
    <row r="803" spans="1:4">
      <c r="A803" s="14"/>
      <c r="B803" s="14"/>
      <c r="C803" s="14"/>
      <c r="D803" s="14"/>
    </row>
    <row r="804" spans="1:4">
      <c r="A804" s="14"/>
      <c r="B804" s="14"/>
      <c r="C804" s="14"/>
      <c r="D804" s="14"/>
    </row>
    <row r="805" spans="1:4">
      <c r="A805" s="14"/>
      <c r="B805" s="14"/>
      <c r="C805" s="14"/>
      <c r="D805" s="14"/>
    </row>
    <row r="806" spans="1:4">
      <c r="A806" s="14"/>
      <c r="B806" s="14"/>
      <c r="C806" s="14"/>
      <c r="D806" s="14"/>
    </row>
    <row r="807" spans="1:4">
      <c r="A807" s="14"/>
      <c r="B807" s="14"/>
      <c r="C807" s="14"/>
      <c r="D807" s="14"/>
    </row>
    <row r="808" spans="1:4">
      <c r="A808" s="14"/>
      <c r="B808" s="14"/>
      <c r="C808" s="14"/>
      <c r="D808" s="14"/>
    </row>
    <row r="809" spans="1:4">
      <c r="A809" s="14"/>
      <c r="B809" s="14"/>
      <c r="C809" s="14"/>
      <c r="D809" s="14"/>
    </row>
    <row r="810" spans="1:4">
      <c r="A810" s="14"/>
      <c r="B810" s="14"/>
      <c r="C810" s="14"/>
      <c r="D810" s="14"/>
    </row>
    <row r="811" spans="1:4">
      <c r="A811" s="14"/>
      <c r="B811" s="14"/>
      <c r="C811" s="14"/>
      <c r="D811" s="14"/>
    </row>
    <row r="812" spans="1:4">
      <c r="A812" s="14"/>
      <c r="B812" s="14"/>
      <c r="C812" s="14"/>
      <c r="D812" s="14"/>
    </row>
    <row r="813" spans="1:4">
      <c r="A813" s="14"/>
      <c r="B813" s="14"/>
      <c r="C813" s="14"/>
      <c r="D813" s="14"/>
    </row>
    <row r="814" spans="1:4">
      <c r="A814" s="14"/>
      <c r="B814" s="14"/>
      <c r="C814" s="14"/>
      <c r="D814" s="14"/>
    </row>
    <row r="815" spans="1:4">
      <c r="A815" s="14"/>
      <c r="B815" s="14"/>
      <c r="C815" s="14"/>
      <c r="D815" s="14"/>
    </row>
    <row r="816" spans="1:4">
      <c r="A816" s="14"/>
      <c r="B816" s="14"/>
      <c r="C816" s="14"/>
      <c r="D816" s="14"/>
    </row>
    <row r="817" spans="1:4">
      <c r="A817" s="14"/>
      <c r="B817" s="14"/>
      <c r="C817" s="14"/>
      <c r="D817" s="14"/>
    </row>
    <row r="818" spans="1:4">
      <c r="A818" s="14"/>
      <c r="B818" s="14"/>
      <c r="C818" s="14"/>
      <c r="D818" s="14"/>
    </row>
    <row r="819" spans="1:4">
      <c r="A819" s="14"/>
      <c r="B819" s="14"/>
      <c r="C819" s="14"/>
      <c r="D819" s="14"/>
    </row>
    <row r="820" spans="1:4">
      <c r="A820" s="14"/>
      <c r="B820" s="14"/>
      <c r="C820" s="14"/>
      <c r="D820" s="14"/>
    </row>
    <row r="821" spans="1:4">
      <c r="A821" s="14"/>
      <c r="B821" s="14"/>
      <c r="C821" s="14"/>
      <c r="D821" s="14"/>
    </row>
    <row r="822" spans="1:4">
      <c r="A822" s="14"/>
      <c r="B822" s="14"/>
      <c r="C822" s="14"/>
      <c r="D822" s="14"/>
    </row>
    <row r="823" spans="1:4">
      <c r="A823" s="14"/>
      <c r="B823" s="14"/>
      <c r="C823" s="14"/>
      <c r="D823" s="14"/>
    </row>
    <row r="824" spans="1:4">
      <c r="A824" s="14"/>
      <c r="B824" s="14"/>
      <c r="C824" s="14"/>
      <c r="D824" s="14"/>
    </row>
    <row r="825" spans="1:4">
      <c r="A825" s="14"/>
      <c r="B825" s="14"/>
      <c r="C825" s="14"/>
      <c r="D825" s="14"/>
    </row>
    <row r="826" spans="1:4">
      <c r="A826" s="14"/>
      <c r="B826" s="14"/>
      <c r="C826" s="14"/>
      <c r="D826" s="14"/>
    </row>
    <row r="827" spans="1:4">
      <c r="A827" s="14"/>
      <c r="B827" s="14"/>
      <c r="C827" s="14"/>
      <c r="D827" s="14"/>
    </row>
    <row r="828" spans="1:4">
      <c r="A828" s="14"/>
      <c r="B828" s="14"/>
      <c r="C828" s="14"/>
      <c r="D828" s="14"/>
    </row>
    <row r="829" spans="1:4">
      <c r="A829" s="14"/>
      <c r="B829" s="14"/>
      <c r="C829" s="14"/>
      <c r="D829" s="14"/>
    </row>
    <row r="830" spans="1:4">
      <c r="A830" s="14"/>
      <c r="B830" s="14"/>
      <c r="C830" s="14"/>
      <c r="D830" s="14"/>
    </row>
    <row r="831" spans="1:4">
      <c r="A831" s="14"/>
      <c r="B831" s="14"/>
      <c r="C831" s="14"/>
      <c r="D831" s="14"/>
    </row>
    <row r="832" spans="1:4">
      <c r="A832" s="14"/>
      <c r="B832" s="14"/>
      <c r="C832" s="14"/>
      <c r="D832" s="14"/>
    </row>
    <row r="833" spans="1:4">
      <c r="A833" s="14"/>
      <c r="B833" s="14"/>
      <c r="C833" s="14"/>
      <c r="D833" s="14"/>
    </row>
    <row r="834" spans="1:4">
      <c r="A834" s="14"/>
      <c r="B834" s="14"/>
      <c r="C834" s="14"/>
      <c r="D834" s="14"/>
    </row>
    <row r="835" spans="1:4">
      <c r="A835" s="14"/>
      <c r="B835" s="14"/>
      <c r="C835" s="14"/>
      <c r="D835" s="14"/>
    </row>
    <row r="836" spans="1:4">
      <c r="A836" s="14"/>
      <c r="B836" s="14"/>
      <c r="C836" s="14"/>
      <c r="D836" s="14"/>
    </row>
    <row r="837" spans="1:4">
      <c r="A837" s="14"/>
      <c r="B837" s="14"/>
      <c r="C837" s="14"/>
      <c r="D837" s="14"/>
    </row>
    <row r="838" spans="1:4">
      <c r="A838" s="14"/>
      <c r="B838" s="14"/>
      <c r="C838" s="14"/>
      <c r="D838" s="14"/>
    </row>
    <row r="839" spans="1:4">
      <c r="A839" s="14"/>
      <c r="B839" s="14"/>
      <c r="C839" s="14"/>
      <c r="D839" s="14"/>
    </row>
    <row r="840" spans="1:4">
      <c r="A840" s="14"/>
      <c r="B840" s="14"/>
      <c r="C840" s="14"/>
      <c r="D840" s="14"/>
    </row>
    <row r="841" spans="1:4">
      <c r="A841" s="14"/>
      <c r="B841" s="14"/>
      <c r="C841" s="14"/>
      <c r="D841" s="14"/>
    </row>
    <row r="842" spans="1:4">
      <c r="A842" s="14"/>
      <c r="B842" s="14"/>
      <c r="C842" s="14"/>
      <c r="D842" s="14"/>
    </row>
    <row r="843" spans="1:4">
      <c r="A843" s="14"/>
      <c r="B843" s="14"/>
      <c r="C843" s="14"/>
      <c r="D843" s="14"/>
    </row>
    <row r="844" spans="1:4">
      <c r="A844" s="14"/>
      <c r="B844" s="14"/>
      <c r="C844" s="14"/>
      <c r="D844" s="14"/>
    </row>
    <row r="845" spans="1:4">
      <c r="A845" s="14"/>
      <c r="B845" s="14"/>
      <c r="C845" s="14"/>
      <c r="D845" s="14"/>
    </row>
    <row r="846" spans="1:4">
      <c r="A846" s="14"/>
      <c r="B846" s="14"/>
      <c r="C846" s="14"/>
      <c r="D846" s="14"/>
    </row>
    <row r="847" spans="1:4">
      <c r="A847" s="14"/>
      <c r="B847" s="14"/>
      <c r="C847" s="14"/>
      <c r="D847" s="14"/>
    </row>
    <row r="848" spans="1:4">
      <c r="A848" s="14"/>
      <c r="B848" s="14"/>
      <c r="C848" s="14"/>
      <c r="D848" s="14"/>
    </row>
    <row r="849" spans="1:4">
      <c r="A849" s="14"/>
      <c r="B849" s="14"/>
      <c r="C849" s="14"/>
      <c r="D849" s="14"/>
    </row>
    <row r="850" spans="1:4">
      <c r="A850" s="14"/>
      <c r="B850" s="14"/>
      <c r="C850" s="14"/>
      <c r="D850" s="14"/>
    </row>
    <row r="851" spans="1:4">
      <c r="A851" s="14"/>
      <c r="B851" s="14"/>
      <c r="C851" s="14"/>
      <c r="D851" s="14"/>
    </row>
  </sheetData>
  <sheetProtection selectLockedCells="1"/>
  <mergeCells count="25">
    <mergeCell ref="B1:D2"/>
    <mergeCell ref="C17:D17"/>
    <mergeCell ref="B34:D34"/>
    <mergeCell ref="B33:D33"/>
    <mergeCell ref="A25:D25"/>
    <mergeCell ref="A18:D18"/>
    <mergeCell ref="A27:A31"/>
    <mergeCell ref="A32:A37"/>
    <mergeCell ref="B36:D36"/>
    <mergeCell ref="B37:D37"/>
    <mergeCell ref="A4:A12"/>
    <mergeCell ref="B4:D12"/>
    <mergeCell ref="B3:D3"/>
    <mergeCell ref="B32:D32"/>
    <mergeCell ref="B13:D13"/>
    <mergeCell ref="B14:D14"/>
    <mergeCell ref="C15:D15"/>
    <mergeCell ref="C16:D16"/>
    <mergeCell ref="B38:D38"/>
    <mergeCell ref="B27:D27"/>
    <mergeCell ref="B28:D28"/>
    <mergeCell ref="B29:D29"/>
    <mergeCell ref="B30:D30"/>
    <mergeCell ref="B31:D31"/>
    <mergeCell ref="B35:D35"/>
  </mergeCells>
  <phoneticPr fontId="7" type="noConversion"/>
  <dataValidations count="3">
    <dataValidation type="list" allowBlank="1" showInputMessage="1" showErrorMessage="1" sqref="B13:D13">
      <formula1>$G$2:$G$8</formula1>
    </dataValidation>
    <dataValidation type="list" allowBlank="1" showInputMessage="1" showErrorMessage="1" sqref="B27:D31">
      <formula1>$I$3:$I$47</formula1>
    </dataValidation>
    <dataValidation type="list" allowBlank="1" showInputMessage="1" showErrorMessage="1" sqref="B32:D36">
      <formula1>$H$3:$H$35</formula1>
    </dataValidation>
  </dataValidations>
  <hyperlinks>
    <hyperlink ref="C20" r:id="rId1"/>
    <hyperlink ref="C21" r:id="rId2"/>
    <hyperlink ref="C22" r:id="rId3"/>
    <hyperlink ref="C23" r:id="rId4"/>
    <hyperlink ref="C24" r:id="rId5"/>
  </hyperlinks>
  <pageMargins left="0.78740157499999996" right="0.78740157499999996" top="0.984251969" bottom="0.984251969" header="0.5" footer="0.5"/>
  <pageSetup scale="54" orientation="portrait" horizontalDpi="4294967292" verticalDpi="4294967292" r:id="rId6"/>
  <headerFooter alignWithMargins="0">
    <oddHeader>&amp;RS. &amp;P/ &amp;N&amp;CForschungszentrum Jülich GmbH
 Messstellenkonfiguration&amp;LIBG-3_TERENO_FB 7-204</oddHeader>
    <oddFooter>&amp;RRevision: 2&amp;CGültig seit: 2013-09-25
gedruckt am: 2016-02-04&amp;LErstellt: Thomas Muckenheim
Geprüft: Thomas Muckenheim
Freigabe: Dr. Ralf Kunkel</oddFooter>
  </headerFooter>
  <drawing r:id="rId7"/>
  <legacyDrawing r:id="rId8"/>
  <mc:AlternateContent xmlns:mc="http://schemas.openxmlformats.org/markup-compatibility/2006">
    <mc:Choice Requires="x14">
      <controls>
        <mc:AlternateContent xmlns:mc="http://schemas.openxmlformats.org/markup-compatibility/2006">
          <mc:Choice Requires="x14">
            <control shapeId="5121" r:id="rId9" name="Check Box 1">
              <controlPr locked="0" defaultSize="0" autoFill="0" autoLine="0" autoPict="0">
                <anchor moveWithCells="1">
                  <from>
                    <xdr:col>1</xdr:col>
                    <xdr:colOff>485775</xdr:colOff>
                    <xdr:row>3</xdr:row>
                    <xdr:rowOff>0</xdr:rowOff>
                  </from>
                  <to>
                    <xdr:col>2</xdr:col>
                    <xdr:colOff>885825</xdr:colOff>
                    <xdr:row>4</xdr:row>
                    <xdr:rowOff>47625</xdr:rowOff>
                  </to>
                </anchor>
              </controlPr>
            </control>
          </mc:Choice>
        </mc:AlternateContent>
        <mc:AlternateContent xmlns:mc="http://schemas.openxmlformats.org/markup-compatibility/2006">
          <mc:Choice Requires="x14">
            <control shapeId="5124" r:id="rId10" name="Check Box 4">
              <controlPr locked="0" defaultSize="0" autoFill="0" autoLine="0" autoPict="0">
                <anchor moveWithCells="1">
                  <from>
                    <xdr:col>1</xdr:col>
                    <xdr:colOff>485775</xdr:colOff>
                    <xdr:row>4</xdr:row>
                    <xdr:rowOff>114300</xdr:rowOff>
                  </from>
                  <to>
                    <xdr:col>2</xdr:col>
                    <xdr:colOff>19050</xdr:colOff>
                    <xdr:row>5</xdr:row>
                    <xdr:rowOff>123825</xdr:rowOff>
                  </to>
                </anchor>
              </controlPr>
            </control>
          </mc:Choice>
        </mc:AlternateContent>
        <mc:AlternateContent xmlns:mc="http://schemas.openxmlformats.org/markup-compatibility/2006">
          <mc:Choice Requires="x14">
            <control shapeId="5125" r:id="rId11" name="Check Box 5">
              <controlPr locked="0" defaultSize="0" autoFill="0" autoLine="0" autoPict="0">
                <anchor moveWithCells="1">
                  <from>
                    <xdr:col>1</xdr:col>
                    <xdr:colOff>485775</xdr:colOff>
                    <xdr:row>5</xdr:row>
                    <xdr:rowOff>190500</xdr:rowOff>
                  </from>
                  <to>
                    <xdr:col>1</xdr:col>
                    <xdr:colOff>1781175</xdr:colOff>
                    <xdr:row>6</xdr:row>
                    <xdr:rowOff>161925</xdr:rowOff>
                  </to>
                </anchor>
              </controlPr>
            </control>
          </mc:Choice>
        </mc:AlternateContent>
        <mc:AlternateContent xmlns:mc="http://schemas.openxmlformats.org/markup-compatibility/2006">
          <mc:Choice Requires="x14">
            <control shapeId="5126" r:id="rId12" name="Check Box 6">
              <controlPr locked="0" defaultSize="0" autoFill="0" autoLine="0" autoPict="0">
                <anchor moveWithCells="1">
                  <from>
                    <xdr:col>1</xdr:col>
                    <xdr:colOff>485775</xdr:colOff>
                    <xdr:row>6</xdr:row>
                    <xdr:rowOff>219075</xdr:rowOff>
                  </from>
                  <to>
                    <xdr:col>2</xdr:col>
                    <xdr:colOff>238125</xdr:colOff>
                    <xdr:row>7</xdr:row>
                    <xdr:rowOff>219075</xdr:rowOff>
                  </to>
                </anchor>
              </controlPr>
            </control>
          </mc:Choice>
        </mc:AlternateContent>
        <mc:AlternateContent xmlns:mc="http://schemas.openxmlformats.org/markup-compatibility/2006">
          <mc:Choice Requires="x14">
            <control shapeId="5127" r:id="rId13" name="Check Box 7">
              <controlPr locked="0" defaultSize="0" autoFill="0" autoLine="0" autoPict="0">
                <anchor moveWithCells="1">
                  <from>
                    <xdr:col>1</xdr:col>
                    <xdr:colOff>485775</xdr:colOff>
                    <xdr:row>8</xdr:row>
                    <xdr:rowOff>28575</xdr:rowOff>
                  </from>
                  <to>
                    <xdr:col>2</xdr:col>
                    <xdr:colOff>285750</xdr:colOff>
                    <xdr:row>9</xdr:row>
                    <xdr:rowOff>38100</xdr:rowOff>
                  </to>
                </anchor>
              </controlPr>
            </control>
          </mc:Choice>
        </mc:AlternateContent>
        <mc:AlternateContent xmlns:mc="http://schemas.openxmlformats.org/markup-compatibility/2006">
          <mc:Choice Requires="x14">
            <control shapeId="5128" r:id="rId14" name="Check Box 8">
              <controlPr locked="0" defaultSize="0" autoFill="0" autoLine="0" autoPict="0">
                <anchor moveWithCells="1">
                  <from>
                    <xdr:col>1</xdr:col>
                    <xdr:colOff>504825</xdr:colOff>
                    <xdr:row>10</xdr:row>
                    <xdr:rowOff>219075</xdr:rowOff>
                  </from>
                  <to>
                    <xdr:col>1</xdr:col>
                    <xdr:colOff>1790700</xdr:colOff>
                    <xdr:row>11</xdr:row>
                    <xdr:rowOff>190500</xdr:rowOff>
                  </to>
                </anchor>
              </controlPr>
            </control>
          </mc:Choice>
        </mc:AlternateContent>
        <mc:AlternateContent xmlns:mc="http://schemas.openxmlformats.org/markup-compatibility/2006">
          <mc:Choice Requires="x14">
            <control shapeId="5129" r:id="rId15" name="Check Box 9">
              <controlPr locked="0" defaultSize="0" autoFill="0" autoLine="0" autoPict="0">
                <anchor moveWithCells="1">
                  <from>
                    <xdr:col>2</xdr:col>
                    <xdr:colOff>1123950</xdr:colOff>
                    <xdr:row>3</xdr:row>
                    <xdr:rowOff>28575</xdr:rowOff>
                  </from>
                  <to>
                    <xdr:col>3</xdr:col>
                    <xdr:colOff>209550</xdr:colOff>
                    <xdr:row>4</xdr:row>
                    <xdr:rowOff>0</xdr:rowOff>
                  </to>
                </anchor>
              </controlPr>
            </control>
          </mc:Choice>
        </mc:AlternateContent>
        <mc:AlternateContent xmlns:mc="http://schemas.openxmlformats.org/markup-compatibility/2006">
          <mc:Choice Requires="x14">
            <control shapeId="5130" r:id="rId16" name="Check Box 10">
              <controlPr locked="0" defaultSize="0" autoFill="0" autoLine="0" autoPict="0">
                <anchor moveWithCells="1">
                  <from>
                    <xdr:col>2</xdr:col>
                    <xdr:colOff>1123950</xdr:colOff>
                    <xdr:row>4</xdr:row>
                    <xdr:rowOff>104775</xdr:rowOff>
                  </from>
                  <to>
                    <xdr:col>3</xdr:col>
                    <xdr:colOff>1276350</xdr:colOff>
                    <xdr:row>5</xdr:row>
                    <xdr:rowOff>114300</xdr:rowOff>
                  </to>
                </anchor>
              </controlPr>
            </control>
          </mc:Choice>
        </mc:AlternateContent>
        <mc:AlternateContent xmlns:mc="http://schemas.openxmlformats.org/markup-compatibility/2006">
          <mc:Choice Requires="x14">
            <control shapeId="5131" r:id="rId17" name="Check Box 11">
              <controlPr locked="0" defaultSize="0" autoFill="0" autoLine="0" autoPict="0">
                <anchor moveWithCells="1">
                  <from>
                    <xdr:col>2</xdr:col>
                    <xdr:colOff>1123950</xdr:colOff>
                    <xdr:row>5</xdr:row>
                    <xdr:rowOff>180975</xdr:rowOff>
                  </from>
                  <to>
                    <xdr:col>3</xdr:col>
                    <xdr:colOff>285750</xdr:colOff>
                    <xdr:row>6</xdr:row>
                    <xdr:rowOff>152400</xdr:rowOff>
                  </to>
                </anchor>
              </controlPr>
            </control>
          </mc:Choice>
        </mc:AlternateContent>
        <mc:AlternateContent xmlns:mc="http://schemas.openxmlformats.org/markup-compatibility/2006">
          <mc:Choice Requires="x14">
            <control shapeId="5132" r:id="rId18" name="Check Box 12">
              <controlPr locked="0" defaultSize="0" autoFill="0" autoLine="0" autoPict="0">
                <anchor moveWithCells="1">
                  <from>
                    <xdr:col>2</xdr:col>
                    <xdr:colOff>1133475</xdr:colOff>
                    <xdr:row>6</xdr:row>
                    <xdr:rowOff>228600</xdr:rowOff>
                  </from>
                  <to>
                    <xdr:col>3</xdr:col>
                    <xdr:colOff>304800</xdr:colOff>
                    <xdr:row>7</xdr:row>
                    <xdr:rowOff>200025</xdr:rowOff>
                  </to>
                </anchor>
              </controlPr>
            </control>
          </mc:Choice>
        </mc:AlternateContent>
        <mc:AlternateContent xmlns:mc="http://schemas.openxmlformats.org/markup-compatibility/2006">
          <mc:Choice Requires="x14">
            <control shapeId="5133" r:id="rId19" name="Check Box 13">
              <controlPr locked="0" defaultSize="0" autoFill="0" autoLine="0" autoPict="0">
                <anchor moveWithCells="1">
                  <from>
                    <xdr:col>1</xdr:col>
                    <xdr:colOff>485775</xdr:colOff>
                    <xdr:row>9</xdr:row>
                    <xdr:rowOff>123825</xdr:rowOff>
                  </from>
                  <to>
                    <xdr:col>1</xdr:col>
                    <xdr:colOff>1857375</xdr:colOff>
                    <xdr:row>10</xdr:row>
                    <xdr:rowOff>104775</xdr:rowOff>
                  </to>
                </anchor>
              </controlPr>
            </control>
          </mc:Choice>
        </mc:AlternateContent>
        <mc:AlternateContent xmlns:mc="http://schemas.openxmlformats.org/markup-compatibility/2006">
          <mc:Choice Requires="x14">
            <control shapeId="5134" r:id="rId20" name="Check Box 14">
              <controlPr locked="0" defaultSize="0" autoFill="0" autoLine="0" autoPict="0">
                <anchor moveWithCells="1">
                  <from>
                    <xdr:col>2</xdr:col>
                    <xdr:colOff>1133475</xdr:colOff>
                    <xdr:row>8</xdr:row>
                    <xdr:rowOff>28575</xdr:rowOff>
                  </from>
                  <to>
                    <xdr:col>3</xdr:col>
                    <xdr:colOff>304800</xdr:colOff>
                    <xdr:row>9</xdr:row>
                    <xdr:rowOff>0</xdr:rowOff>
                  </to>
                </anchor>
              </controlPr>
            </control>
          </mc:Choice>
        </mc:AlternateContent>
        <mc:AlternateContent xmlns:mc="http://schemas.openxmlformats.org/markup-compatibility/2006">
          <mc:Choice Requires="x14">
            <control shapeId="5135" r:id="rId21" name="Check Box 15">
              <controlPr locked="0" defaultSize="0" autoFill="0" autoLine="0" autoPict="0">
                <anchor moveWithCells="1">
                  <from>
                    <xdr:col>2</xdr:col>
                    <xdr:colOff>1133475</xdr:colOff>
                    <xdr:row>9</xdr:row>
                    <xdr:rowOff>76200</xdr:rowOff>
                  </from>
                  <to>
                    <xdr:col>3</xdr:col>
                    <xdr:colOff>304800</xdr:colOff>
                    <xdr:row>10</xdr:row>
                    <xdr:rowOff>47625</xdr:rowOff>
                  </to>
                </anchor>
              </controlPr>
            </control>
          </mc:Choice>
        </mc:AlternateContent>
        <mc:AlternateContent xmlns:mc="http://schemas.openxmlformats.org/markup-compatibility/2006">
          <mc:Choice Requires="x14">
            <control shapeId="5137" r:id="rId22" name="Check Box 17">
              <controlPr defaultSize="0" autoFill="0" autoLine="0" autoPict="0">
                <anchor moveWithCells="1">
                  <from>
                    <xdr:col>2</xdr:col>
                    <xdr:colOff>1133475</xdr:colOff>
                    <xdr:row>10</xdr:row>
                    <xdr:rowOff>114300</xdr:rowOff>
                  </from>
                  <to>
                    <xdr:col>3</xdr:col>
                    <xdr:colOff>638175</xdr:colOff>
                    <xdr:row>11</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tt3"/>
  <dimension ref="A1:F65"/>
  <sheetViews>
    <sheetView topLeftCell="A7" workbookViewId="0">
      <selection activeCell="D16" sqref="D16"/>
    </sheetView>
  </sheetViews>
  <sheetFormatPr baseColWidth="10" defaultRowHeight="15"/>
  <cols>
    <col min="2" max="2" width="26.42578125" customWidth="1"/>
    <col min="3" max="3" width="58.28515625" customWidth="1"/>
    <col min="4" max="4" width="24" customWidth="1"/>
    <col min="5" max="5" width="50.28515625" customWidth="1"/>
    <col min="6" max="6" width="35.85546875" customWidth="1"/>
  </cols>
  <sheetData>
    <row r="1" spans="1:6" s="30" customFormat="1" ht="36" customHeight="1">
      <c r="A1" s="197" t="s">
        <v>912</v>
      </c>
      <c r="B1" s="198"/>
      <c r="C1" s="198"/>
      <c r="D1" s="198"/>
      <c r="E1" s="198"/>
      <c r="F1" s="199"/>
    </row>
    <row r="2" spans="1:6" s="31" customFormat="1" ht="21.95" customHeight="1">
      <c r="A2" s="32">
        <v>1</v>
      </c>
      <c r="B2" s="208" t="s">
        <v>989</v>
      </c>
      <c r="C2" s="208"/>
      <c r="D2" s="208"/>
      <c r="E2" s="208"/>
      <c r="F2" s="209"/>
    </row>
    <row r="3" spans="1:6" s="31" customFormat="1" ht="21.95" customHeight="1">
      <c r="A3" s="32">
        <v>2</v>
      </c>
      <c r="B3" s="208" t="s">
        <v>990</v>
      </c>
      <c r="C3" s="208"/>
      <c r="D3" s="208"/>
      <c r="E3" s="208"/>
      <c r="F3" s="209"/>
    </row>
    <row r="4" spans="1:6" s="31" customFormat="1" ht="21.95" customHeight="1">
      <c r="A4" s="32"/>
      <c r="B4" s="208"/>
      <c r="C4" s="208"/>
      <c r="D4" s="208"/>
      <c r="E4" s="208"/>
      <c r="F4" s="209"/>
    </row>
    <row r="5" spans="1:6" s="31" customFormat="1" ht="21.95" customHeight="1">
      <c r="A5" s="32"/>
      <c r="B5" s="208"/>
      <c r="C5" s="208"/>
      <c r="D5" s="208"/>
      <c r="E5" s="208"/>
      <c r="F5" s="209"/>
    </row>
    <row r="6" spans="1:6" s="31" customFormat="1" ht="21.95" customHeight="1">
      <c r="A6" s="32"/>
      <c r="B6" s="208"/>
      <c r="C6" s="208"/>
      <c r="D6" s="208"/>
      <c r="E6" s="208"/>
      <c r="F6" s="209"/>
    </row>
    <row r="7" spans="1:6" s="31" customFormat="1" ht="21.95" customHeight="1">
      <c r="A7" s="32">
        <v>3</v>
      </c>
      <c r="B7" s="208" t="s">
        <v>1003</v>
      </c>
      <c r="C7" s="208"/>
      <c r="D7" s="208"/>
      <c r="E7" s="208"/>
      <c r="F7" s="209"/>
    </row>
    <row r="8" spans="1:6" s="31" customFormat="1" ht="21.95" customHeight="1">
      <c r="A8" s="32">
        <v>4</v>
      </c>
      <c r="B8" s="208" t="s">
        <v>1005</v>
      </c>
      <c r="C8" s="208"/>
      <c r="D8" s="208"/>
      <c r="E8" s="208"/>
      <c r="F8" s="209"/>
    </row>
    <row r="9" spans="1:6" s="31" customFormat="1" ht="21.95" customHeight="1">
      <c r="A9" s="32"/>
      <c r="B9" s="208"/>
      <c r="C9" s="208"/>
      <c r="D9" s="208"/>
      <c r="E9" s="208"/>
      <c r="F9" s="209"/>
    </row>
    <row r="10" spans="1:6" s="31" customFormat="1" ht="21.95" customHeight="1">
      <c r="A10" s="33"/>
      <c r="B10" s="214" t="s">
        <v>1004</v>
      </c>
      <c r="C10" s="214"/>
      <c r="D10" s="214"/>
      <c r="E10" s="214"/>
      <c r="F10" s="215"/>
    </row>
    <row r="11" spans="1:6" ht="45" customHeight="1">
      <c r="A11" s="212" t="s">
        <v>994</v>
      </c>
      <c r="B11" s="212"/>
      <c r="C11" s="26" t="s">
        <v>516</v>
      </c>
      <c r="D11" s="5" t="s">
        <v>996</v>
      </c>
      <c r="E11" s="5" t="s">
        <v>997</v>
      </c>
      <c r="F11" s="5" t="s">
        <v>998</v>
      </c>
    </row>
    <row r="12" spans="1:6" ht="26.1" customHeight="1">
      <c r="A12" s="213" t="s">
        <v>995</v>
      </c>
      <c r="B12" s="213"/>
      <c r="C12" s="27" t="s">
        <v>1000</v>
      </c>
      <c r="D12" s="10" t="s">
        <v>317</v>
      </c>
      <c r="E12" s="10"/>
      <c r="F12" s="10" t="s">
        <v>999</v>
      </c>
    </row>
    <row r="13" spans="1:6" s="9" customFormat="1" ht="24.95" customHeight="1">
      <c r="A13" s="200">
        <v>2.5299999999999998</v>
      </c>
      <c r="B13" s="201"/>
      <c r="C13" s="40" t="s">
        <v>105</v>
      </c>
      <c r="D13" s="41"/>
      <c r="E13" s="42" t="s">
        <v>991</v>
      </c>
      <c r="F13" s="43" t="str">
        <f>IF(C13="","",CONCATENATE(C13,IF(A13="","",IF(A13&gt;0,CONCATENATE("+",A13,"m"),CONCATENATE(A13,"m"))),IF(D13="","",CONCATENATE("-",D13))))</f>
        <v>Friedrichs 4021 wind speed+2.53m</v>
      </c>
    </row>
    <row r="14" spans="1:6" s="9" customFormat="1" ht="24.95" customHeight="1">
      <c r="A14" s="204">
        <v>-0.2</v>
      </c>
      <c r="B14" s="205"/>
      <c r="C14" s="37" t="s">
        <v>274</v>
      </c>
      <c r="D14" s="38">
        <v>1</v>
      </c>
      <c r="E14" s="39" t="s">
        <v>992</v>
      </c>
      <c r="F14" s="44" t="str">
        <f>IF(C14="","",CONCATENATE(C14,IF(A14="","",IF(A14&gt;0,CONCATENATE("+",A14,"m"),CONCATENATE(A14,"m"))),IF(D14="","",CONCATENATE("-",D14))))</f>
        <v>UMS TDR-0.2m-1</v>
      </c>
    </row>
    <row r="15" spans="1:6" s="9" customFormat="1" ht="24.95" customHeight="1">
      <c r="A15" s="206">
        <v>-0.1</v>
      </c>
      <c r="B15" s="207"/>
      <c r="C15" s="45" t="s">
        <v>274</v>
      </c>
      <c r="D15" s="46">
        <v>2</v>
      </c>
      <c r="E15" s="47" t="s">
        <v>993</v>
      </c>
      <c r="F15" s="48" t="str">
        <f>IF(C15="","",CONCATENATE(C15,IF(A15="","",IF(A15&gt;0,CONCATENATE("+",A15,"m"),CONCATENATE(A15,"m"))),IF(D15="","",CONCATENATE("-",D15))))</f>
        <v>UMS TDR-0.1m-2</v>
      </c>
    </row>
    <row r="16" spans="1:6" s="9" customFormat="1" ht="24.95" customHeight="1">
      <c r="A16" s="210">
        <v>2</v>
      </c>
      <c r="B16" s="211"/>
      <c r="C16" s="34" t="s">
        <v>1071</v>
      </c>
      <c r="D16" s="34"/>
      <c r="E16" s="35"/>
      <c r="F16" s="36" t="str">
        <f>IF(C16="","",CONCATENATE(C16,IF(A16="","hh",IF(A16&gt;0,CONCATENATE("+",A16,"m"),CONCATENATE(A16,"m"))),IF(D16="","",CONCATENATE("-",D16))))</f>
        <v>Rotronic Hygroclip Air Temperature Sensor+2m</v>
      </c>
    </row>
    <row r="17" spans="1:6" ht="24.95" customHeight="1">
      <c r="A17" s="202">
        <v>2</v>
      </c>
      <c r="B17" s="203"/>
      <c r="C17" s="28" t="s">
        <v>1072</v>
      </c>
      <c r="D17" s="28"/>
      <c r="E17" s="29"/>
      <c r="F17" s="36" t="str">
        <f t="shared" ref="F17:F65" si="0">IF(C17="","",CONCATENATE(C17,IF(A17="","hh",IF(A17&gt;0,CONCATENATE("+",A17,"m"),CONCATENATE(A17,"m"))),IF(D17="","",CONCATENATE("-",D17))))</f>
        <v>Rotronic Hygroclip Air Humidity Sensor+2m</v>
      </c>
    </row>
    <row r="18" spans="1:6" ht="24.95" customHeight="1">
      <c r="A18" s="202">
        <v>2</v>
      </c>
      <c r="B18" s="203"/>
      <c r="C18" s="28" t="s">
        <v>1077</v>
      </c>
      <c r="D18" s="28"/>
      <c r="E18" s="29"/>
      <c r="F18" s="36" t="str">
        <f t="shared" si="0"/>
        <v>Schenk 8101 global radiometer+2m</v>
      </c>
    </row>
    <row r="19" spans="1:6" ht="24.95" customHeight="1">
      <c r="A19" s="202">
        <v>10</v>
      </c>
      <c r="B19" s="203"/>
      <c r="C19" s="28" t="s">
        <v>1084</v>
      </c>
      <c r="D19" s="28"/>
      <c r="E19" s="29"/>
      <c r="F19" s="36" t="str">
        <f t="shared" si="0"/>
        <v>Vector anemometer wind speed sensor+10m</v>
      </c>
    </row>
    <row r="20" spans="1:6" ht="24.95" customHeight="1">
      <c r="A20" s="202">
        <v>10</v>
      </c>
      <c r="B20" s="203"/>
      <c r="C20" s="28" t="s">
        <v>1086</v>
      </c>
      <c r="D20" s="28"/>
      <c r="E20" s="29"/>
      <c r="F20" s="36" t="str">
        <f t="shared" si="0"/>
        <v>Vector potentiometer wind direction sensor+10m</v>
      </c>
    </row>
    <row r="21" spans="1:6" ht="24.95" customHeight="1">
      <c r="A21" s="202">
        <v>1.5</v>
      </c>
      <c r="B21" s="203"/>
      <c r="C21" s="28" t="s">
        <v>1093</v>
      </c>
      <c r="D21" s="28"/>
      <c r="E21" s="29"/>
      <c r="F21" s="36" t="str">
        <f t="shared" si="0"/>
        <v>Ott Pluvio2 Ombrometer+1,5m</v>
      </c>
    </row>
    <row r="22" spans="1:6" ht="24.95" customHeight="1">
      <c r="A22" s="202"/>
      <c r="B22" s="203"/>
      <c r="C22" s="28"/>
      <c r="D22" s="28"/>
      <c r="E22" s="29"/>
      <c r="F22" s="36" t="str">
        <f t="shared" si="0"/>
        <v/>
      </c>
    </row>
    <row r="23" spans="1:6" ht="24.95" customHeight="1">
      <c r="A23" s="202"/>
      <c r="B23" s="203"/>
      <c r="C23" s="28"/>
      <c r="D23" s="28"/>
      <c r="E23" s="29"/>
      <c r="F23" s="36" t="str">
        <f t="shared" si="0"/>
        <v/>
      </c>
    </row>
    <row r="24" spans="1:6" ht="24.95" customHeight="1">
      <c r="A24" s="202"/>
      <c r="B24" s="203"/>
      <c r="C24" s="28"/>
      <c r="D24" s="28"/>
      <c r="E24" s="29"/>
      <c r="F24" s="36" t="str">
        <f t="shared" si="0"/>
        <v/>
      </c>
    </row>
    <row r="25" spans="1:6" ht="24.95" customHeight="1">
      <c r="A25" s="202"/>
      <c r="B25" s="203"/>
      <c r="C25" s="28"/>
      <c r="D25" s="28"/>
      <c r="E25" s="29"/>
      <c r="F25" s="36" t="str">
        <f t="shared" si="0"/>
        <v/>
      </c>
    </row>
    <row r="26" spans="1:6" ht="24.95" customHeight="1">
      <c r="A26" s="202"/>
      <c r="B26" s="203"/>
      <c r="C26" s="28"/>
      <c r="D26" s="28"/>
      <c r="E26" s="29"/>
      <c r="F26" s="36" t="str">
        <f t="shared" si="0"/>
        <v/>
      </c>
    </row>
    <row r="27" spans="1:6" ht="24.95" customHeight="1">
      <c r="A27" s="202"/>
      <c r="B27" s="203"/>
      <c r="C27" s="28"/>
      <c r="D27" s="28"/>
      <c r="E27" s="29"/>
      <c r="F27" s="36" t="str">
        <f t="shared" si="0"/>
        <v/>
      </c>
    </row>
    <row r="28" spans="1:6" ht="24.95" customHeight="1">
      <c r="A28" s="202"/>
      <c r="B28" s="203"/>
      <c r="C28" s="28"/>
      <c r="D28" s="28"/>
      <c r="E28" s="29"/>
      <c r="F28" s="36" t="str">
        <f t="shared" si="0"/>
        <v/>
      </c>
    </row>
    <row r="29" spans="1:6" ht="24.95" customHeight="1">
      <c r="A29" s="202"/>
      <c r="B29" s="203"/>
      <c r="C29" s="28"/>
      <c r="D29" s="28"/>
      <c r="E29" s="29"/>
      <c r="F29" s="36" t="str">
        <f t="shared" si="0"/>
        <v/>
      </c>
    </row>
    <row r="30" spans="1:6" ht="24.95" customHeight="1">
      <c r="A30" s="202"/>
      <c r="B30" s="203"/>
      <c r="C30" s="28"/>
      <c r="D30" s="28"/>
      <c r="E30" s="29"/>
      <c r="F30" s="36" t="str">
        <f t="shared" si="0"/>
        <v/>
      </c>
    </row>
    <row r="31" spans="1:6" ht="24.95" customHeight="1">
      <c r="A31" s="202"/>
      <c r="B31" s="203"/>
      <c r="C31" s="28"/>
      <c r="D31" s="28"/>
      <c r="E31" s="29"/>
      <c r="F31" s="36" t="str">
        <f t="shared" si="0"/>
        <v/>
      </c>
    </row>
    <row r="32" spans="1:6" ht="24.95" customHeight="1">
      <c r="A32" s="202"/>
      <c r="B32" s="203"/>
      <c r="C32" s="28"/>
      <c r="D32" s="28"/>
      <c r="E32" s="29"/>
      <c r="F32" s="36" t="str">
        <f t="shared" si="0"/>
        <v/>
      </c>
    </row>
    <row r="33" spans="1:6" ht="24.95" customHeight="1">
      <c r="A33" s="202"/>
      <c r="B33" s="203"/>
      <c r="C33" s="28"/>
      <c r="D33" s="28"/>
      <c r="E33" s="29"/>
      <c r="F33" s="36" t="str">
        <f t="shared" si="0"/>
        <v/>
      </c>
    </row>
    <row r="34" spans="1:6" ht="24.95" customHeight="1">
      <c r="A34" s="202"/>
      <c r="B34" s="203"/>
      <c r="C34" s="28"/>
      <c r="D34" s="28"/>
      <c r="E34" s="29"/>
      <c r="F34" s="36" t="str">
        <f t="shared" si="0"/>
        <v/>
      </c>
    </row>
    <row r="35" spans="1:6" ht="24.95" customHeight="1">
      <c r="A35" s="202"/>
      <c r="B35" s="203"/>
      <c r="C35" s="28"/>
      <c r="D35" s="28"/>
      <c r="E35" s="29"/>
      <c r="F35" s="36" t="str">
        <f t="shared" si="0"/>
        <v/>
      </c>
    </row>
    <row r="36" spans="1:6" ht="24.95" customHeight="1">
      <c r="A36" s="202"/>
      <c r="B36" s="203"/>
      <c r="C36" s="28"/>
      <c r="D36" s="28"/>
      <c r="E36" s="29"/>
      <c r="F36" s="36" t="str">
        <f t="shared" si="0"/>
        <v/>
      </c>
    </row>
    <row r="37" spans="1:6" ht="24.95" customHeight="1">
      <c r="A37" s="202"/>
      <c r="B37" s="203"/>
      <c r="C37" s="28"/>
      <c r="D37" s="28"/>
      <c r="E37" s="29"/>
      <c r="F37" s="36" t="str">
        <f t="shared" si="0"/>
        <v/>
      </c>
    </row>
    <row r="38" spans="1:6" ht="24.95" customHeight="1">
      <c r="A38" s="202"/>
      <c r="B38" s="203"/>
      <c r="C38" s="28"/>
      <c r="D38" s="28"/>
      <c r="E38" s="29"/>
      <c r="F38" s="36" t="str">
        <f t="shared" si="0"/>
        <v/>
      </c>
    </row>
    <row r="39" spans="1:6" ht="24.95" customHeight="1">
      <c r="A39" s="202"/>
      <c r="B39" s="203"/>
      <c r="C39" s="28"/>
      <c r="D39" s="28"/>
      <c r="E39" s="29"/>
      <c r="F39" s="36" t="str">
        <f t="shared" si="0"/>
        <v/>
      </c>
    </row>
    <row r="40" spans="1:6" ht="24.95" customHeight="1">
      <c r="A40" s="202"/>
      <c r="B40" s="203"/>
      <c r="C40" s="28"/>
      <c r="D40" s="28"/>
      <c r="E40" s="29"/>
      <c r="F40" s="36" t="str">
        <f t="shared" si="0"/>
        <v/>
      </c>
    </row>
    <row r="41" spans="1:6" ht="24.95" customHeight="1">
      <c r="A41" s="202"/>
      <c r="B41" s="203"/>
      <c r="C41" s="28"/>
      <c r="D41" s="28"/>
      <c r="E41" s="29"/>
      <c r="F41" s="36" t="str">
        <f t="shared" si="0"/>
        <v/>
      </c>
    </row>
    <row r="42" spans="1:6" ht="24.95" customHeight="1">
      <c r="A42" s="202"/>
      <c r="B42" s="203"/>
      <c r="C42" s="28"/>
      <c r="D42" s="28"/>
      <c r="E42" s="29"/>
      <c r="F42" s="36" t="str">
        <f t="shared" si="0"/>
        <v/>
      </c>
    </row>
    <row r="43" spans="1:6" ht="24.95" customHeight="1">
      <c r="A43" s="202"/>
      <c r="B43" s="203"/>
      <c r="C43" s="28"/>
      <c r="D43" s="28"/>
      <c r="E43" s="29"/>
      <c r="F43" s="36" t="str">
        <f t="shared" si="0"/>
        <v/>
      </c>
    </row>
    <row r="44" spans="1:6" ht="24.95" customHeight="1">
      <c r="A44" s="202"/>
      <c r="B44" s="203"/>
      <c r="C44" s="28"/>
      <c r="D44" s="28"/>
      <c r="E44" s="29"/>
      <c r="F44" s="36" t="str">
        <f t="shared" si="0"/>
        <v/>
      </c>
    </row>
    <row r="45" spans="1:6" ht="24.95" customHeight="1">
      <c r="A45" s="202"/>
      <c r="B45" s="203"/>
      <c r="C45" s="28"/>
      <c r="D45" s="28"/>
      <c r="E45" s="29"/>
      <c r="F45" s="36" t="str">
        <f t="shared" si="0"/>
        <v/>
      </c>
    </row>
    <row r="46" spans="1:6" ht="24.95" customHeight="1">
      <c r="A46" s="202"/>
      <c r="B46" s="203"/>
      <c r="C46" s="28"/>
      <c r="D46" s="28"/>
      <c r="E46" s="29"/>
      <c r="F46" s="36" t="str">
        <f t="shared" si="0"/>
        <v/>
      </c>
    </row>
    <row r="47" spans="1:6" ht="24.95" customHeight="1">
      <c r="A47" s="202"/>
      <c r="B47" s="203"/>
      <c r="C47" s="28"/>
      <c r="D47" s="28"/>
      <c r="E47" s="29"/>
      <c r="F47" s="36" t="str">
        <f t="shared" si="0"/>
        <v/>
      </c>
    </row>
    <row r="48" spans="1:6" ht="24.95" customHeight="1">
      <c r="A48" s="202"/>
      <c r="B48" s="203"/>
      <c r="C48" s="28"/>
      <c r="D48" s="28"/>
      <c r="E48" s="29"/>
      <c r="F48" s="36" t="str">
        <f t="shared" si="0"/>
        <v/>
      </c>
    </row>
    <row r="49" spans="1:6" ht="24.95" customHeight="1">
      <c r="A49" s="202"/>
      <c r="B49" s="203"/>
      <c r="C49" s="28"/>
      <c r="D49" s="28"/>
      <c r="E49" s="29"/>
      <c r="F49" s="36" t="str">
        <f t="shared" si="0"/>
        <v/>
      </c>
    </row>
    <row r="50" spans="1:6" ht="24.95" customHeight="1">
      <c r="A50" s="202"/>
      <c r="B50" s="203"/>
      <c r="C50" s="28"/>
      <c r="D50" s="28"/>
      <c r="E50" s="29"/>
      <c r="F50" s="36" t="str">
        <f t="shared" si="0"/>
        <v/>
      </c>
    </row>
    <row r="51" spans="1:6" ht="24.95" customHeight="1">
      <c r="A51" s="202"/>
      <c r="B51" s="203"/>
      <c r="C51" s="28"/>
      <c r="D51" s="28"/>
      <c r="E51" s="29"/>
      <c r="F51" s="36" t="str">
        <f t="shared" si="0"/>
        <v/>
      </c>
    </row>
    <row r="52" spans="1:6" ht="24.95" customHeight="1">
      <c r="A52" s="202"/>
      <c r="B52" s="203"/>
      <c r="C52" s="28"/>
      <c r="D52" s="28"/>
      <c r="E52" s="29"/>
      <c r="F52" s="36" t="str">
        <f t="shared" si="0"/>
        <v/>
      </c>
    </row>
    <row r="53" spans="1:6" ht="24.95" customHeight="1">
      <c r="A53" s="202"/>
      <c r="B53" s="203"/>
      <c r="C53" s="28"/>
      <c r="D53" s="28"/>
      <c r="E53" s="29"/>
      <c r="F53" s="36" t="str">
        <f t="shared" si="0"/>
        <v/>
      </c>
    </row>
    <row r="54" spans="1:6" ht="24.95" customHeight="1">
      <c r="A54" s="202"/>
      <c r="B54" s="203"/>
      <c r="C54" s="28"/>
      <c r="D54" s="28"/>
      <c r="E54" s="29"/>
      <c r="F54" s="36" t="str">
        <f t="shared" si="0"/>
        <v/>
      </c>
    </row>
    <row r="55" spans="1:6" ht="24.95" customHeight="1">
      <c r="A55" s="202"/>
      <c r="B55" s="203"/>
      <c r="C55" s="28"/>
      <c r="D55" s="28"/>
      <c r="E55" s="29"/>
      <c r="F55" s="36" t="str">
        <f t="shared" si="0"/>
        <v/>
      </c>
    </row>
    <row r="56" spans="1:6" ht="24.95" customHeight="1">
      <c r="A56" s="202"/>
      <c r="B56" s="203"/>
      <c r="C56" s="28"/>
      <c r="D56" s="28"/>
      <c r="E56" s="29"/>
      <c r="F56" s="36" t="str">
        <f t="shared" si="0"/>
        <v/>
      </c>
    </row>
    <row r="57" spans="1:6" ht="24.95" customHeight="1">
      <c r="A57" s="202"/>
      <c r="B57" s="203"/>
      <c r="C57" s="28"/>
      <c r="D57" s="28"/>
      <c r="E57" s="29"/>
      <c r="F57" s="36" t="str">
        <f t="shared" si="0"/>
        <v/>
      </c>
    </row>
    <row r="58" spans="1:6" ht="24.95" customHeight="1">
      <c r="A58" s="202"/>
      <c r="B58" s="203"/>
      <c r="C58" s="28"/>
      <c r="D58" s="28"/>
      <c r="E58" s="29"/>
      <c r="F58" s="36" t="str">
        <f t="shared" si="0"/>
        <v/>
      </c>
    </row>
    <row r="59" spans="1:6" ht="24.95" customHeight="1">
      <c r="A59" s="202"/>
      <c r="B59" s="203"/>
      <c r="C59" s="28"/>
      <c r="D59" s="28"/>
      <c r="E59" s="29"/>
      <c r="F59" s="36" t="str">
        <f t="shared" si="0"/>
        <v/>
      </c>
    </row>
    <row r="60" spans="1:6" ht="24.95" customHeight="1">
      <c r="A60" s="202"/>
      <c r="B60" s="203"/>
      <c r="C60" s="28"/>
      <c r="D60" s="28"/>
      <c r="E60" s="29"/>
      <c r="F60" s="36" t="str">
        <f t="shared" si="0"/>
        <v/>
      </c>
    </row>
    <row r="61" spans="1:6" ht="24.95" customHeight="1">
      <c r="A61" s="202"/>
      <c r="B61" s="203"/>
      <c r="C61" s="28"/>
      <c r="D61" s="28"/>
      <c r="E61" s="29"/>
      <c r="F61" s="36" t="str">
        <f t="shared" si="0"/>
        <v/>
      </c>
    </row>
    <row r="62" spans="1:6" ht="24.95" customHeight="1">
      <c r="A62" s="202"/>
      <c r="B62" s="203"/>
      <c r="C62" s="28"/>
      <c r="D62" s="28"/>
      <c r="E62" s="29"/>
      <c r="F62" s="36" t="str">
        <f t="shared" si="0"/>
        <v/>
      </c>
    </row>
    <row r="63" spans="1:6" ht="24.95" customHeight="1">
      <c r="A63" s="202"/>
      <c r="B63" s="203"/>
      <c r="C63" s="28"/>
      <c r="D63" s="28"/>
      <c r="E63" s="29"/>
      <c r="F63" s="36" t="str">
        <f t="shared" si="0"/>
        <v/>
      </c>
    </row>
    <row r="64" spans="1:6" ht="24.95" customHeight="1">
      <c r="A64" s="202"/>
      <c r="B64" s="203"/>
      <c r="C64" s="28"/>
      <c r="D64" s="28"/>
      <c r="E64" s="29"/>
      <c r="F64" s="36" t="str">
        <f t="shared" si="0"/>
        <v/>
      </c>
    </row>
    <row r="65" spans="1:6" ht="24.95" customHeight="1">
      <c r="A65" s="202"/>
      <c r="B65" s="203"/>
      <c r="C65" s="28"/>
      <c r="D65" s="28"/>
      <c r="E65" s="29"/>
      <c r="F65" s="36" t="str">
        <f t="shared" si="0"/>
        <v/>
      </c>
    </row>
  </sheetData>
  <sheetProtection sheet="1" objects="1" scenarios="1" selectLockedCells="1"/>
  <mergeCells count="65">
    <mergeCell ref="A64:B64"/>
    <mergeCell ref="A47:B47"/>
    <mergeCell ref="A48:B48"/>
    <mergeCell ref="A65:B65"/>
    <mergeCell ref="A59:B59"/>
    <mergeCell ref="A60:B60"/>
    <mergeCell ref="A61:B61"/>
    <mergeCell ref="A62:B62"/>
    <mergeCell ref="A63:B63"/>
    <mergeCell ref="A58:B58"/>
    <mergeCell ref="A57:B57"/>
    <mergeCell ref="A49:B49"/>
    <mergeCell ref="A50:B50"/>
    <mergeCell ref="A51:B51"/>
    <mergeCell ref="A52:B52"/>
    <mergeCell ref="A53:B53"/>
    <mergeCell ref="A27:B27"/>
    <mergeCell ref="A19:B19"/>
    <mergeCell ref="A20:B20"/>
    <mergeCell ref="A21:B21"/>
    <mergeCell ref="A22:B22"/>
    <mergeCell ref="A23:B23"/>
    <mergeCell ref="A40:B40"/>
    <mergeCell ref="A41:B41"/>
    <mergeCell ref="A34:B34"/>
    <mergeCell ref="A35:B35"/>
    <mergeCell ref="A30:B30"/>
    <mergeCell ref="A56:B56"/>
    <mergeCell ref="A43:B43"/>
    <mergeCell ref="A44:B44"/>
    <mergeCell ref="A45:B45"/>
    <mergeCell ref="A46:B46"/>
    <mergeCell ref="A55:B55"/>
    <mergeCell ref="A12:B12"/>
    <mergeCell ref="B4:F4"/>
    <mergeCell ref="B10:F10"/>
    <mergeCell ref="A54:B54"/>
    <mergeCell ref="A36:B36"/>
    <mergeCell ref="A37:B37"/>
    <mergeCell ref="A18:B18"/>
    <mergeCell ref="A28:B28"/>
    <mergeCell ref="A29:B29"/>
    <mergeCell ref="A42:B42"/>
    <mergeCell ref="A31:B31"/>
    <mergeCell ref="A32:B32"/>
    <mergeCell ref="A33:B33"/>
    <mergeCell ref="A17:B17"/>
    <mergeCell ref="A38:B38"/>
    <mergeCell ref="A39:B39"/>
    <mergeCell ref="A1:F1"/>
    <mergeCell ref="A13:B13"/>
    <mergeCell ref="A24:B24"/>
    <mergeCell ref="A25:B25"/>
    <mergeCell ref="A26:B26"/>
    <mergeCell ref="A14:B14"/>
    <mergeCell ref="A15:B15"/>
    <mergeCell ref="B9:F9"/>
    <mergeCell ref="B5:F5"/>
    <mergeCell ref="B6:F6"/>
    <mergeCell ref="B7:F7"/>
    <mergeCell ref="B8:F8"/>
    <mergeCell ref="A16:B16"/>
    <mergeCell ref="B2:F2"/>
    <mergeCell ref="B3:F3"/>
    <mergeCell ref="A11:B11"/>
  </mergeCells>
  <phoneticPr fontId="7" type="noConversion"/>
  <pageMargins left="0.78740157499999996" right="0.78740157499999996" top="0.984251969" bottom="0.984251969" header="0.5" footer="0.5"/>
  <pageSetup paperSize="9" orientation="portrait" horizontalDpi="4294967292" verticalDpi="4294967292" r:id="rId1"/>
  <headerFooter alignWithMargins="0">
    <oddHeader>&amp;RS. &amp;P/ &amp;N&amp;CForschungszentrum Jülich GmbH
 Messstellenkonfiguration&amp;LIBG-3_TERENO_FB 7-204</oddHeader>
    <oddFooter>&amp;RRevision: 2&amp;CGültig seit: 2013-09-25
gedruckt am: 2016-02-04&amp;LErstellt: Thomas Muckenheim
Geprüft: Thomas Muckenheim
Freigabe: Dr. Ralf Kunkel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Schaltfläche3_BeiKlick">
                <anchor moveWithCells="1" sizeWithCells="1">
                  <from>
                    <xdr:col>1</xdr:col>
                    <xdr:colOff>9525</xdr:colOff>
                    <xdr:row>3</xdr:row>
                    <xdr:rowOff>161925</xdr:rowOff>
                  </from>
                  <to>
                    <xdr:col>1</xdr:col>
                    <xdr:colOff>1743075</xdr:colOff>
                    <xdr:row>5</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Sensoren!$B$6:$B$200</xm:f>
          </x14:formula1>
          <xm:sqref>C14:C65</xm:sqref>
        </x14:dataValidation>
        <x14:dataValidation type="list" allowBlank="1" showInputMessage="1" showErrorMessage="1">
          <x14:formula1>
            <xm:f>Sensoren!$B$6:$B$455</xm:f>
          </x14:formula1>
          <xm:sqref>C13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tt4"/>
  <dimension ref="A1:Q93"/>
  <sheetViews>
    <sheetView tabSelected="1" topLeftCell="A34" workbookViewId="0">
      <selection activeCell="F44" sqref="F44"/>
    </sheetView>
  </sheetViews>
  <sheetFormatPr baseColWidth="10" defaultColWidth="10.85546875" defaultRowHeight="15"/>
  <cols>
    <col min="1" max="1" width="16.42578125" style="1" customWidth="1"/>
    <col min="2" max="2" width="21.140625" style="1" customWidth="1"/>
    <col min="3" max="3" width="33" style="1" customWidth="1"/>
    <col min="4" max="4" width="21.42578125" style="1" customWidth="1"/>
    <col min="5" max="5" width="26" style="1" customWidth="1"/>
    <col min="6" max="6" width="30.28515625" style="1" customWidth="1"/>
    <col min="7" max="7" width="22.7109375" style="1" customWidth="1"/>
    <col min="8" max="8" width="33" style="1" customWidth="1"/>
    <col min="9" max="13" width="15.7109375" style="1" customWidth="1"/>
    <col min="14" max="14" width="46.85546875" style="1" customWidth="1"/>
    <col min="15" max="15" width="16.140625" style="1" customWidth="1"/>
    <col min="16" max="16" width="36.85546875" style="1" customWidth="1"/>
    <col min="17" max="17" width="37.140625" style="1" customWidth="1"/>
    <col min="18" max="16384" width="10.85546875" style="1"/>
  </cols>
  <sheetData>
    <row r="1" spans="1:11" s="30" customFormat="1" ht="36" customHeight="1">
      <c r="A1" s="197" t="s">
        <v>912</v>
      </c>
      <c r="B1" s="198"/>
      <c r="C1" s="198"/>
      <c r="D1" s="198"/>
      <c r="E1" s="198"/>
      <c r="F1" s="199"/>
      <c r="I1" s="163"/>
      <c r="J1" s="163"/>
      <c r="K1" s="163"/>
    </row>
    <row r="2" spans="1:11" s="31" customFormat="1" ht="36" customHeight="1">
      <c r="A2" s="32">
        <v>1</v>
      </c>
      <c r="B2" s="221" t="s">
        <v>1027</v>
      </c>
      <c r="C2" s="221"/>
      <c r="D2" s="221"/>
      <c r="E2" s="221"/>
      <c r="F2" s="222"/>
      <c r="I2" s="164"/>
      <c r="J2" s="164"/>
      <c r="K2" s="164"/>
    </row>
    <row r="3" spans="1:11" s="31" customFormat="1" ht="23.1" customHeight="1">
      <c r="A3" s="32">
        <v>2</v>
      </c>
      <c r="B3" s="208" t="s">
        <v>1028</v>
      </c>
      <c r="C3" s="208"/>
      <c r="D3" s="208"/>
      <c r="E3" s="208"/>
      <c r="F3" s="209"/>
      <c r="I3" s="164"/>
      <c r="J3" s="164"/>
      <c r="K3" s="164"/>
    </row>
    <row r="4" spans="1:11" s="31" customFormat="1" ht="23.1" customHeight="1">
      <c r="A4" s="32">
        <v>3</v>
      </c>
      <c r="B4" s="208" t="s">
        <v>1033</v>
      </c>
      <c r="C4" s="208"/>
      <c r="D4" s="208"/>
      <c r="E4" s="208"/>
      <c r="F4" s="209"/>
      <c r="I4" s="164"/>
      <c r="J4" s="164"/>
      <c r="K4" s="164"/>
    </row>
    <row r="5" spans="1:11" s="31" customFormat="1" ht="23.1" customHeight="1">
      <c r="A5" s="32">
        <v>4</v>
      </c>
      <c r="B5" s="208" t="s">
        <v>1034</v>
      </c>
      <c r="C5" s="208"/>
      <c r="D5" s="208"/>
      <c r="E5" s="208"/>
      <c r="F5" s="209"/>
      <c r="I5" s="164"/>
      <c r="J5" s="164"/>
      <c r="K5" s="164"/>
    </row>
    <row r="6" spans="1:11" s="31" customFormat="1" ht="23.1" customHeight="1">
      <c r="A6" s="32">
        <v>5</v>
      </c>
      <c r="B6" s="208" t="s">
        <v>1041</v>
      </c>
      <c r="C6" s="208"/>
      <c r="D6" s="208"/>
      <c r="E6" s="208"/>
      <c r="F6" s="209"/>
      <c r="I6" s="164"/>
      <c r="J6" s="164"/>
      <c r="K6" s="164"/>
    </row>
    <row r="7" spans="1:11" s="31" customFormat="1" ht="23.1" customHeight="1">
      <c r="A7" s="32"/>
      <c r="B7" s="49"/>
      <c r="C7" s="49"/>
      <c r="D7" s="49"/>
      <c r="E7" s="49"/>
      <c r="F7" s="50"/>
      <c r="I7" s="164"/>
      <c r="J7" s="164"/>
      <c r="K7" s="164"/>
    </row>
    <row r="8" spans="1:11" s="31" customFormat="1" ht="23.1" customHeight="1">
      <c r="A8" s="32"/>
      <c r="B8" s="49"/>
      <c r="C8" s="49"/>
      <c r="D8" s="49"/>
      <c r="E8" s="49"/>
      <c r="F8" s="50"/>
      <c r="I8" s="164"/>
      <c r="J8" s="164"/>
      <c r="K8" s="164"/>
    </row>
    <row r="9" spans="1:11" s="31" customFormat="1" ht="23.1" customHeight="1">
      <c r="A9" s="32">
        <v>6</v>
      </c>
      <c r="B9" s="208" t="s">
        <v>1042</v>
      </c>
      <c r="C9" s="208"/>
      <c r="D9" s="208"/>
      <c r="E9" s="208"/>
      <c r="F9" s="209"/>
      <c r="I9" s="164"/>
      <c r="J9" s="164"/>
      <c r="K9" s="164"/>
    </row>
    <row r="10" spans="1:11" s="31" customFormat="1" ht="23.1" customHeight="1">
      <c r="A10" s="32"/>
      <c r="B10" s="49"/>
      <c r="C10" s="49"/>
      <c r="D10" s="49"/>
      <c r="E10" s="49"/>
      <c r="F10" s="50"/>
      <c r="I10" s="164"/>
      <c r="J10" s="164"/>
      <c r="K10" s="164"/>
    </row>
    <row r="11" spans="1:11" s="31" customFormat="1" ht="23.1" customHeight="1">
      <c r="A11" s="32"/>
      <c r="B11" s="49"/>
      <c r="C11" s="49"/>
      <c r="D11" s="49"/>
      <c r="E11" s="49"/>
      <c r="F11" s="50"/>
      <c r="I11" s="164"/>
      <c r="J11" s="164"/>
      <c r="K11" s="164"/>
    </row>
    <row r="12" spans="1:11" s="31" customFormat="1" ht="23.1" customHeight="1">
      <c r="A12" s="32">
        <v>7</v>
      </c>
      <c r="B12" s="208" t="s">
        <v>1043</v>
      </c>
      <c r="C12" s="208"/>
      <c r="D12" s="208"/>
      <c r="E12" s="208"/>
      <c r="F12" s="209"/>
      <c r="I12" s="164"/>
      <c r="J12" s="164"/>
      <c r="K12" s="164"/>
    </row>
    <row r="13" spans="1:11" s="31" customFormat="1" ht="23.1" customHeight="1">
      <c r="A13" s="32"/>
      <c r="B13" s="49"/>
      <c r="C13" s="49"/>
      <c r="D13" s="49"/>
      <c r="E13" s="49"/>
      <c r="F13" s="50"/>
      <c r="I13" s="164"/>
      <c r="J13" s="164"/>
      <c r="K13" s="164"/>
    </row>
    <row r="14" spans="1:11" s="31" customFormat="1" ht="23.1" customHeight="1">
      <c r="A14" s="32"/>
      <c r="B14" s="49"/>
      <c r="C14" s="49"/>
      <c r="D14" s="49"/>
      <c r="E14" s="49"/>
      <c r="F14" s="50"/>
      <c r="I14" s="164"/>
      <c r="J14" s="164"/>
      <c r="K14" s="164"/>
    </row>
    <row r="15" spans="1:11" s="31" customFormat="1" ht="23.1" customHeight="1">
      <c r="A15" s="32">
        <v>8</v>
      </c>
      <c r="B15" s="208" t="s">
        <v>1044</v>
      </c>
      <c r="C15" s="208"/>
      <c r="D15" s="208"/>
      <c r="E15" s="208"/>
      <c r="F15" s="209"/>
      <c r="I15" s="164"/>
      <c r="J15" s="164"/>
      <c r="K15" s="164"/>
    </row>
    <row r="16" spans="1:11" s="31" customFormat="1" ht="23.1" customHeight="1">
      <c r="A16" s="32">
        <v>9</v>
      </c>
      <c r="B16" s="208" t="s">
        <v>1045</v>
      </c>
      <c r="C16" s="208"/>
      <c r="D16" s="208"/>
      <c r="E16" s="208"/>
      <c r="F16" s="209"/>
      <c r="I16" s="164"/>
      <c r="J16" s="164"/>
      <c r="K16" s="164"/>
    </row>
    <row r="17" spans="1:16" s="31" customFormat="1" ht="23.1" customHeight="1">
      <c r="A17" s="32"/>
      <c r="B17" s="49"/>
      <c r="C17" s="49"/>
      <c r="D17" s="49"/>
      <c r="E17" s="49"/>
      <c r="F17" s="50"/>
      <c r="I17" s="164"/>
      <c r="J17" s="164"/>
      <c r="K17" s="164"/>
    </row>
    <row r="18" spans="1:16" s="31" customFormat="1" ht="23.1" customHeight="1">
      <c r="A18" s="32"/>
      <c r="B18" s="49"/>
      <c r="C18" s="49"/>
      <c r="D18" s="49"/>
      <c r="E18" s="49"/>
      <c r="F18" s="50"/>
      <c r="I18" s="164"/>
      <c r="J18" s="164"/>
      <c r="K18" s="164"/>
    </row>
    <row r="19" spans="1:16" s="31" customFormat="1" ht="23.1" customHeight="1">
      <c r="A19" s="32">
        <v>10</v>
      </c>
      <c r="B19" s="49" t="s">
        <v>1046</v>
      </c>
      <c r="C19" s="49"/>
      <c r="D19" s="49"/>
      <c r="E19" s="49"/>
      <c r="F19" s="50"/>
      <c r="I19" s="164"/>
      <c r="J19" s="164"/>
      <c r="K19" s="164"/>
    </row>
    <row r="20" spans="1:16" s="31" customFormat="1" ht="23.1" customHeight="1">
      <c r="A20" s="32">
        <v>11</v>
      </c>
      <c r="B20" s="208" t="s">
        <v>1048</v>
      </c>
      <c r="C20" s="208"/>
      <c r="D20" s="208"/>
      <c r="E20" s="208"/>
      <c r="F20" s="209"/>
      <c r="I20" s="164"/>
      <c r="J20" s="164"/>
      <c r="K20" s="164"/>
    </row>
    <row r="21" spans="1:16" s="31" customFormat="1" ht="23.1" customHeight="1">
      <c r="A21" s="32"/>
      <c r="B21" s="49"/>
      <c r="C21" s="49"/>
      <c r="D21" s="49"/>
      <c r="E21" s="49"/>
      <c r="F21" s="50"/>
      <c r="I21" s="164"/>
      <c r="J21" s="164"/>
      <c r="K21" s="164"/>
    </row>
    <row r="22" spans="1:16" s="31" customFormat="1" ht="23.1" customHeight="1">
      <c r="A22" s="32"/>
      <c r="B22" s="49"/>
      <c r="C22" s="49"/>
      <c r="D22" s="49"/>
      <c r="E22" s="49"/>
      <c r="F22" s="50"/>
      <c r="I22" s="164"/>
      <c r="J22" s="164"/>
      <c r="K22" s="164"/>
    </row>
    <row r="23" spans="1:16" s="31" customFormat="1" ht="23.1" customHeight="1">
      <c r="A23" s="32">
        <v>12</v>
      </c>
      <c r="B23" s="49" t="s">
        <v>1052</v>
      </c>
      <c r="C23" s="49"/>
      <c r="D23" s="49"/>
      <c r="E23" s="49"/>
      <c r="F23" s="50"/>
      <c r="I23" s="164"/>
      <c r="J23" s="164"/>
      <c r="K23" s="164"/>
    </row>
    <row r="24" spans="1:16" s="31" customFormat="1" ht="33" customHeight="1">
      <c r="A24" s="32">
        <v>13</v>
      </c>
      <c r="B24" s="221" t="s">
        <v>1053</v>
      </c>
      <c r="C24" s="221"/>
      <c r="D24" s="221"/>
      <c r="E24" s="221"/>
      <c r="F24" s="222"/>
      <c r="I24" s="164"/>
      <c r="J24" s="164"/>
      <c r="K24" s="164"/>
    </row>
    <row r="25" spans="1:16" s="31" customFormat="1" ht="23.1" customHeight="1">
      <c r="A25" s="33">
        <v>14</v>
      </c>
      <c r="B25" s="51" t="s">
        <v>1054</v>
      </c>
      <c r="C25" s="51"/>
      <c r="D25" s="51"/>
      <c r="E25" s="51"/>
      <c r="F25" s="52"/>
      <c r="I25" s="164"/>
      <c r="J25" s="164"/>
      <c r="K25" s="164"/>
    </row>
    <row r="27" spans="1:16" s="2" customFormat="1" ht="27" customHeight="1">
      <c r="A27" s="216" t="s">
        <v>1020</v>
      </c>
      <c r="B27" s="217"/>
      <c r="C27" s="217"/>
      <c r="D27" s="218"/>
      <c r="E27" s="188" t="s">
        <v>1133</v>
      </c>
      <c r="F27" s="177"/>
      <c r="G27" s="92"/>
      <c r="H27" s="92"/>
      <c r="I27" s="160"/>
      <c r="J27" s="160"/>
      <c r="K27" s="160"/>
      <c r="L27" s="92"/>
      <c r="M27" s="92"/>
      <c r="N27" s="92"/>
    </row>
    <row r="28" spans="1:16" s="161" customFormat="1" ht="27" customHeight="1">
      <c r="A28" s="216" t="s">
        <v>1122</v>
      </c>
      <c r="B28" s="217"/>
      <c r="C28" s="217"/>
      <c r="D28" s="218"/>
      <c r="E28" s="223" t="s">
        <v>1132</v>
      </c>
      <c r="F28" s="224"/>
      <c r="G28" s="160"/>
      <c r="H28" s="160"/>
      <c r="I28" s="160"/>
      <c r="J28" s="160"/>
      <c r="K28" s="160"/>
      <c r="L28" s="160"/>
      <c r="M28" s="160"/>
      <c r="N28" s="160"/>
      <c r="O28" s="160"/>
      <c r="P28" s="160"/>
    </row>
    <row r="29" spans="1:16" s="2" customFormat="1" ht="27" customHeight="1">
      <c r="A29" s="216" t="s">
        <v>1023</v>
      </c>
      <c r="B29" s="217"/>
      <c r="C29" s="217"/>
      <c r="D29" s="218"/>
      <c r="E29" s="188" t="s">
        <v>1070</v>
      </c>
      <c r="F29" s="177"/>
      <c r="G29" s="17"/>
      <c r="I29" s="161"/>
      <c r="J29" s="161"/>
      <c r="K29" s="161"/>
    </row>
    <row r="30" spans="1:16" s="2" customFormat="1" ht="27" customHeight="1">
      <c r="A30" s="216" t="s">
        <v>1024</v>
      </c>
      <c r="B30" s="217"/>
      <c r="C30" s="217"/>
      <c r="D30" s="218"/>
      <c r="E30" s="219" t="s">
        <v>1134</v>
      </c>
      <c r="F30" s="220"/>
      <c r="G30" s="17"/>
      <c r="I30" s="161"/>
      <c r="J30" s="161"/>
      <c r="K30" s="161"/>
    </row>
    <row r="31" spans="1:16" s="2" customFormat="1" ht="27" customHeight="1">
      <c r="A31" s="216" t="s">
        <v>1123</v>
      </c>
      <c r="B31" s="217"/>
      <c r="C31" s="217"/>
      <c r="D31" s="218"/>
      <c r="E31" s="169" t="s">
        <v>1135</v>
      </c>
      <c r="F31" s="159"/>
      <c r="G31" s="17"/>
      <c r="I31" s="161"/>
      <c r="J31" s="161"/>
      <c r="K31" s="161"/>
    </row>
    <row r="32" spans="1:16" s="2" customFormat="1" ht="27" customHeight="1">
      <c r="A32" s="216" t="s">
        <v>1129</v>
      </c>
      <c r="B32" s="217"/>
      <c r="C32" s="217"/>
      <c r="D32" s="218"/>
      <c r="E32" s="169" t="s">
        <v>794</v>
      </c>
      <c r="F32" s="162"/>
      <c r="G32" s="17"/>
      <c r="I32" s="161"/>
      <c r="J32" s="161"/>
      <c r="K32" s="161"/>
    </row>
    <row r="33" spans="1:17" s="2" customFormat="1" ht="27" customHeight="1">
      <c r="A33" s="216" t="s">
        <v>1032</v>
      </c>
      <c r="B33" s="217"/>
      <c r="C33" s="217"/>
      <c r="D33" s="218"/>
      <c r="E33" s="188" t="s">
        <v>1136</v>
      </c>
      <c r="F33" s="177"/>
      <c r="G33" s="17"/>
      <c r="I33" s="161"/>
      <c r="J33" s="161"/>
      <c r="K33" s="161"/>
    </row>
    <row r="34" spans="1:17" s="2" customFormat="1" ht="27" customHeight="1">
      <c r="A34" s="216" t="s">
        <v>1031</v>
      </c>
      <c r="B34" s="217"/>
      <c r="C34" s="217"/>
      <c r="D34" s="218"/>
      <c r="E34" s="219" t="s">
        <v>1137</v>
      </c>
      <c r="F34" s="220"/>
      <c r="G34" s="17"/>
      <c r="I34" s="161"/>
      <c r="J34" s="161"/>
      <c r="K34" s="161"/>
    </row>
    <row r="35" spans="1:17" s="2" customFormat="1" ht="27" customHeight="1">
      <c r="A35" s="216" t="s">
        <v>1026</v>
      </c>
      <c r="B35" s="217"/>
      <c r="C35" s="217"/>
      <c r="D35" s="218"/>
      <c r="E35" s="188" t="s">
        <v>1138</v>
      </c>
      <c r="F35" s="177"/>
      <c r="G35" s="17"/>
      <c r="I35" s="161"/>
      <c r="J35" s="161"/>
      <c r="K35" s="161"/>
    </row>
    <row r="36" spans="1:17" s="2" customFormat="1" ht="27" customHeight="1">
      <c r="A36" s="216" t="s">
        <v>1021</v>
      </c>
      <c r="B36" s="217"/>
      <c r="C36" s="217"/>
      <c r="D36" s="218"/>
      <c r="E36" s="188" t="s">
        <v>1139</v>
      </c>
      <c r="F36" s="177"/>
      <c r="G36" s="17"/>
      <c r="I36" s="161"/>
      <c r="J36" s="161"/>
      <c r="K36" s="161"/>
    </row>
    <row r="37" spans="1:17" s="2" customFormat="1" ht="27" customHeight="1">
      <c r="A37" s="216" t="s">
        <v>1022</v>
      </c>
      <c r="B37" s="217"/>
      <c r="C37" s="217"/>
      <c r="D37" s="218"/>
      <c r="E37" s="188" t="s">
        <v>1141</v>
      </c>
      <c r="F37" s="177"/>
      <c r="G37" s="17"/>
      <c r="I37" s="161"/>
      <c r="J37" s="161"/>
      <c r="K37" s="161"/>
    </row>
    <row r="38" spans="1:17" s="2" customFormat="1" ht="27" customHeight="1">
      <c r="A38" s="216" t="s">
        <v>1025</v>
      </c>
      <c r="B38" s="217"/>
      <c r="C38" s="217"/>
      <c r="D38" s="218"/>
      <c r="E38" s="188" t="s">
        <v>1140</v>
      </c>
      <c r="F38" s="177"/>
      <c r="G38" s="17"/>
      <c r="I38" s="161"/>
      <c r="J38" s="161"/>
      <c r="K38" s="161"/>
    </row>
    <row r="39" spans="1:17" s="2" customFormat="1" ht="27" customHeight="1">
      <c r="A39" s="94"/>
      <c r="B39" s="95"/>
      <c r="C39" s="93"/>
      <c r="D39" s="93"/>
      <c r="E39" s="17"/>
      <c r="F39" s="17"/>
      <c r="G39" s="17"/>
      <c r="I39" s="161"/>
      <c r="J39" s="161"/>
      <c r="K39" s="161"/>
    </row>
    <row r="40" spans="1:17" customFormat="1" ht="85.5" customHeight="1">
      <c r="A40" s="96" t="s">
        <v>1029</v>
      </c>
      <c r="B40" s="97" t="s">
        <v>1030</v>
      </c>
      <c r="C40" s="98" t="s">
        <v>1035</v>
      </c>
      <c r="D40" s="99" t="s">
        <v>1036</v>
      </c>
      <c r="E40" s="99" t="s">
        <v>1037</v>
      </c>
      <c r="F40" s="99" t="s">
        <v>1038</v>
      </c>
      <c r="G40" s="99" t="s">
        <v>1039</v>
      </c>
      <c r="H40" s="99" t="s">
        <v>1040</v>
      </c>
      <c r="I40" s="99" t="s">
        <v>1124</v>
      </c>
      <c r="J40" s="99" t="s">
        <v>1125</v>
      </c>
      <c r="K40" s="99" t="s">
        <v>1126</v>
      </c>
      <c r="L40" s="99" t="s">
        <v>1127</v>
      </c>
      <c r="M40" s="99" t="s">
        <v>1128</v>
      </c>
      <c r="N40" s="99" t="s">
        <v>1047</v>
      </c>
      <c r="O40" s="99" t="s">
        <v>1049</v>
      </c>
      <c r="P40" s="99" t="s">
        <v>1051</v>
      </c>
      <c r="Q40" s="99" t="s">
        <v>1050</v>
      </c>
    </row>
    <row r="41" spans="1:17" s="7" customFormat="1" ht="47.25">
      <c r="A41" s="101">
        <v>1</v>
      </c>
      <c r="B41" s="102" t="s">
        <v>4</v>
      </c>
      <c r="C41" s="102" t="s">
        <v>13</v>
      </c>
      <c r="D41" s="102" t="s">
        <v>507</v>
      </c>
      <c r="E41" s="102" t="s">
        <v>368</v>
      </c>
      <c r="F41" s="102" t="s">
        <v>326</v>
      </c>
      <c r="G41" s="102" t="s">
        <v>1055</v>
      </c>
      <c r="H41" s="102" t="s">
        <v>599</v>
      </c>
      <c r="I41" s="165"/>
      <c r="J41" s="165">
        <v>600</v>
      </c>
      <c r="K41" s="165">
        <v>1100</v>
      </c>
      <c r="L41" s="102">
        <v>500</v>
      </c>
      <c r="M41" s="102">
        <v>1200</v>
      </c>
      <c r="N41" s="102" t="s">
        <v>519</v>
      </c>
      <c r="O41" s="102" t="s">
        <v>12</v>
      </c>
      <c r="P41" s="102"/>
      <c r="Q41" s="103" t="s">
        <v>518</v>
      </c>
    </row>
    <row r="42" spans="1:17" s="7" customFormat="1" ht="24.95" customHeight="1">
      <c r="A42" s="104">
        <v>5</v>
      </c>
      <c r="B42" s="100" t="s">
        <v>1056</v>
      </c>
      <c r="C42" s="100" t="s">
        <v>1057</v>
      </c>
      <c r="D42" s="100" t="s">
        <v>502</v>
      </c>
      <c r="E42" s="100" t="s">
        <v>366</v>
      </c>
      <c r="F42" s="100" t="s">
        <v>338</v>
      </c>
      <c r="G42" s="100"/>
      <c r="H42" s="100" t="s">
        <v>1058</v>
      </c>
      <c r="I42" s="166"/>
      <c r="J42" s="166"/>
      <c r="K42" s="166">
        <v>2.5</v>
      </c>
      <c r="L42" s="100"/>
      <c r="M42" s="100">
        <v>2.5</v>
      </c>
      <c r="N42" s="100" t="s">
        <v>911</v>
      </c>
      <c r="O42" s="100" t="s">
        <v>561</v>
      </c>
      <c r="P42" s="100" t="s">
        <v>1059</v>
      </c>
      <c r="Q42" s="105" t="s">
        <v>1062</v>
      </c>
    </row>
    <row r="43" spans="1:17" s="7" customFormat="1" ht="24.95" customHeight="1">
      <c r="A43" s="106">
        <v>5</v>
      </c>
      <c r="B43" s="107"/>
      <c r="C43" s="107" t="s">
        <v>1060</v>
      </c>
      <c r="D43" s="107" t="s">
        <v>502</v>
      </c>
      <c r="E43" s="107" t="s">
        <v>476</v>
      </c>
      <c r="F43" s="107" t="s">
        <v>338</v>
      </c>
      <c r="G43" s="107"/>
      <c r="H43" s="107" t="s">
        <v>863</v>
      </c>
      <c r="I43" s="167"/>
      <c r="J43" s="167">
        <v>30</v>
      </c>
      <c r="K43" s="167">
        <v>80</v>
      </c>
      <c r="L43" s="107">
        <v>20</v>
      </c>
      <c r="M43" s="107">
        <v>100</v>
      </c>
      <c r="N43" s="107" t="s">
        <v>911</v>
      </c>
      <c r="O43" s="107" t="s">
        <v>12</v>
      </c>
      <c r="P43" s="107" t="s">
        <v>1061</v>
      </c>
      <c r="Q43" s="108"/>
    </row>
    <row r="44" spans="1:17" s="7" customFormat="1" ht="24.95" customHeight="1">
      <c r="A44" s="110">
        <v>2</v>
      </c>
      <c r="B44" s="168" t="s">
        <v>1147</v>
      </c>
      <c r="C44" s="168" t="s">
        <v>1142</v>
      </c>
      <c r="D44" s="34"/>
      <c r="E44" s="34"/>
      <c r="F44" s="34"/>
      <c r="G44" s="34"/>
      <c r="H44" s="34"/>
      <c r="I44" s="168"/>
      <c r="J44" s="168"/>
      <c r="K44" s="168"/>
      <c r="L44" s="34"/>
      <c r="M44" s="34"/>
      <c r="N44" s="34"/>
      <c r="O44" s="168" t="s">
        <v>12</v>
      </c>
      <c r="P44" s="171" t="s">
        <v>1171</v>
      </c>
      <c r="Q44" s="34"/>
    </row>
    <row r="45" spans="1:17" s="7" customFormat="1" ht="24.95" customHeight="1">
      <c r="A45" s="110">
        <v>3</v>
      </c>
      <c r="B45" s="168" t="s">
        <v>1147</v>
      </c>
      <c r="C45" s="168" t="s">
        <v>1143</v>
      </c>
      <c r="D45" s="34"/>
      <c r="E45" s="34"/>
      <c r="F45" s="34"/>
      <c r="G45" s="34"/>
      <c r="H45" s="34"/>
      <c r="I45" s="168"/>
      <c r="J45" s="168"/>
      <c r="K45" s="168"/>
      <c r="L45" s="34"/>
      <c r="M45" s="34"/>
      <c r="N45" s="34"/>
      <c r="O45" s="168" t="s">
        <v>12</v>
      </c>
      <c r="P45" s="171" t="s">
        <v>1171</v>
      </c>
      <c r="Q45" s="34"/>
    </row>
    <row r="46" spans="1:17" s="7" customFormat="1" ht="24.95" customHeight="1">
      <c r="A46" s="110">
        <v>4</v>
      </c>
      <c r="B46" s="168" t="s">
        <v>1147</v>
      </c>
      <c r="C46" s="168" t="s">
        <v>1144</v>
      </c>
      <c r="D46" s="168" t="s">
        <v>507</v>
      </c>
      <c r="E46" s="34" t="s">
        <v>438</v>
      </c>
      <c r="F46" s="168" t="s">
        <v>338</v>
      </c>
      <c r="G46" s="168" t="s">
        <v>1138</v>
      </c>
      <c r="H46" s="34" t="s">
        <v>554</v>
      </c>
      <c r="I46" s="168" t="s">
        <v>1150</v>
      </c>
      <c r="J46" s="168">
        <v>0</v>
      </c>
      <c r="K46" s="168">
        <v>1500</v>
      </c>
      <c r="L46" s="34">
        <v>-10</v>
      </c>
      <c r="M46" s="34">
        <v>1600</v>
      </c>
      <c r="N46" s="34" t="s">
        <v>1154</v>
      </c>
      <c r="O46" s="168" t="s">
        <v>12</v>
      </c>
      <c r="P46" s="171" t="s">
        <v>1171</v>
      </c>
      <c r="Q46" s="34"/>
    </row>
    <row r="47" spans="1:17" s="7" customFormat="1" ht="24.95" customHeight="1">
      <c r="A47" s="110">
        <v>7</v>
      </c>
      <c r="B47" s="168" t="s">
        <v>1147</v>
      </c>
      <c r="C47" s="168" t="s">
        <v>1145</v>
      </c>
      <c r="D47" s="168" t="s">
        <v>507</v>
      </c>
      <c r="E47" s="34" t="s">
        <v>364</v>
      </c>
      <c r="F47" s="168" t="s">
        <v>338</v>
      </c>
      <c r="G47" s="168" t="s">
        <v>1138</v>
      </c>
      <c r="H47" s="34" t="s">
        <v>604</v>
      </c>
      <c r="I47" s="168" t="s">
        <v>1150</v>
      </c>
      <c r="J47" s="168">
        <v>-40</v>
      </c>
      <c r="K47" s="168">
        <v>85</v>
      </c>
      <c r="L47" s="34">
        <v>-50</v>
      </c>
      <c r="M47" s="34">
        <v>50</v>
      </c>
      <c r="N47" s="34" t="s">
        <v>1155</v>
      </c>
      <c r="O47" s="168" t="s">
        <v>12</v>
      </c>
      <c r="P47" s="171" t="s">
        <v>1171</v>
      </c>
      <c r="Q47" s="168" t="s">
        <v>1166</v>
      </c>
    </row>
    <row r="48" spans="1:17" s="7" customFormat="1" ht="24.95" customHeight="1">
      <c r="A48" s="110">
        <v>8</v>
      </c>
      <c r="B48" s="168" t="s">
        <v>1147</v>
      </c>
      <c r="C48" s="168" t="s">
        <v>1146</v>
      </c>
      <c r="D48" s="168" t="s">
        <v>507</v>
      </c>
      <c r="E48" s="34" t="s">
        <v>479</v>
      </c>
      <c r="F48" s="168" t="s">
        <v>338</v>
      </c>
      <c r="G48" s="168" t="s">
        <v>1138</v>
      </c>
      <c r="H48" s="34" t="s">
        <v>863</v>
      </c>
      <c r="I48" s="168" t="s">
        <v>1150</v>
      </c>
      <c r="J48" s="168">
        <v>0</v>
      </c>
      <c r="K48" s="168">
        <v>100</v>
      </c>
      <c r="L48" s="34">
        <v>-10</v>
      </c>
      <c r="M48" s="34">
        <v>110</v>
      </c>
      <c r="N48" s="34" t="s">
        <v>1160</v>
      </c>
      <c r="O48" s="168" t="s">
        <v>12</v>
      </c>
      <c r="P48" s="171" t="s">
        <v>1171</v>
      </c>
      <c r="Q48" s="168" t="s">
        <v>1167</v>
      </c>
    </row>
    <row r="49" spans="1:17" s="7" customFormat="1" ht="24.95" customHeight="1">
      <c r="A49" s="110">
        <v>11</v>
      </c>
      <c r="B49" s="168" t="s">
        <v>1147</v>
      </c>
      <c r="C49" s="168" t="s">
        <v>1148</v>
      </c>
      <c r="D49" s="168" t="s">
        <v>507</v>
      </c>
      <c r="E49" s="34" t="s">
        <v>467</v>
      </c>
      <c r="F49" s="168" t="s">
        <v>338</v>
      </c>
      <c r="G49" s="168" t="s">
        <v>1138</v>
      </c>
      <c r="H49" s="34" t="s">
        <v>639</v>
      </c>
      <c r="I49" s="168" t="s">
        <v>1150</v>
      </c>
      <c r="J49" s="168">
        <v>0</v>
      </c>
      <c r="K49" s="168">
        <v>75</v>
      </c>
      <c r="L49" s="168" t="s">
        <v>1151</v>
      </c>
      <c r="M49" s="168" t="s">
        <v>1152</v>
      </c>
      <c r="N49" s="34" t="s">
        <v>1159</v>
      </c>
      <c r="O49" s="168" t="s">
        <v>12</v>
      </c>
      <c r="P49" s="171" t="s">
        <v>1171</v>
      </c>
      <c r="Q49" s="168" t="s">
        <v>1168</v>
      </c>
    </row>
    <row r="50" spans="1:17" s="7" customFormat="1" ht="24.95" customHeight="1">
      <c r="A50" s="110">
        <v>12</v>
      </c>
      <c r="B50" s="168" t="s">
        <v>1147</v>
      </c>
      <c r="C50" s="168" t="s">
        <v>1149</v>
      </c>
      <c r="D50" s="168" t="s">
        <v>507</v>
      </c>
      <c r="E50" s="34" t="s">
        <v>2</v>
      </c>
      <c r="F50" s="168" t="s">
        <v>338</v>
      </c>
      <c r="G50" s="168" t="s">
        <v>1138</v>
      </c>
      <c r="H50" s="34" t="s">
        <v>528</v>
      </c>
      <c r="I50" s="168" t="s">
        <v>1150</v>
      </c>
      <c r="J50" s="168">
        <v>0</v>
      </c>
      <c r="K50" s="168">
        <v>360</v>
      </c>
      <c r="L50" s="168" t="s">
        <v>1151</v>
      </c>
      <c r="M50" s="168" t="s">
        <v>1153</v>
      </c>
      <c r="N50" s="34" t="s">
        <v>1158</v>
      </c>
      <c r="O50" s="168" t="s">
        <v>12</v>
      </c>
      <c r="P50" s="171" t="s">
        <v>1171</v>
      </c>
      <c r="Q50" s="168" t="s">
        <v>1169</v>
      </c>
    </row>
    <row r="51" spans="1:17" s="7" customFormat="1" ht="24.95" customHeight="1">
      <c r="A51" s="110">
        <v>13</v>
      </c>
      <c r="B51" s="168" t="s">
        <v>1147</v>
      </c>
      <c r="C51" s="168" t="s">
        <v>1161</v>
      </c>
      <c r="D51" s="168" t="s">
        <v>507</v>
      </c>
      <c r="E51" s="34" t="s">
        <v>1164</v>
      </c>
      <c r="F51" s="34" t="s">
        <v>326</v>
      </c>
      <c r="G51" s="168" t="s">
        <v>1138</v>
      </c>
      <c r="H51" s="34" t="s">
        <v>884</v>
      </c>
      <c r="I51" s="168" t="s">
        <v>1150</v>
      </c>
      <c r="J51" s="168">
        <v>0</v>
      </c>
      <c r="K51" s="168">
        <v>30</v>
      </c>
      <c r="L51" s="168" t="s">
        <v>1151</v>
      </c>
      <c r="M51" s="168" t="s">
        <v>1165</v>
      </c>
      <c r="N51" s="34" t="s">
        <v>1157</v>
      </c>
      <c r="O51" s="168" t="s">
        <v>12</v>
      </c>
      <c r="P51" s="171" t="s">
        <v>1171</v>
      </c>
      <c r="Q51" s="168" t="s">
        <v>1170</v>
      </c>
    </row>
    <row r="52" spans="1:17" s="7" customFormat="1" ht="24.95" customHeight="1">
      <c r="A52" s="110">
        <v>14</v>
      </c>
      <c r="B52" s="168" t="s">
        <v>1147</v>
      </c>
      <c r="C52" s="168" t="s">
        <v>1162</v>
      </c>
      <c r="D52" s="168" t="s">
        <v>507</v>
      </c>
      <c r="E52" s="34" t="s">
        <v>1096</v>
      </c>
      <c r="F52" s="34" t="s">
        <v>320</v>
      </c>
      <c r="G52" s="168" t="s">
        <v>1138</v>
      </c>
      <c r="H52" s="34" t="s">
        <v>569</v>
      </c>
      <c r="I52" s="168" t="s">
        <v>1150</v>
      </c>
      <c r="J52" s="168">
        <v>0</v>
      </c>
      <c r="K52" s="168">
        <v>150</v>
      </c>
      <c r="L52" s="168" t="s">
        <v>1151</v>
      </c>
      <c r="M52" s="168" t="s">
        <v>1156</v>
      </c>
      <c r="N52" s="34" t="s">
        <v>1157</v>
      </c>
      <c r="O52" s="168" t="s">
        <v>12</v>
      </c>
      <c r="P52" s="171" t="s">
        <v>1171</v>
      </c>
      <c r="Q52" s="168" t="s">
        <v>1170</v>
      </c>
    </row>
    <row r="53" spans="1:17" s="7" customFormat="1" ht="24.95" customHeight="1">
      <c r="A53" s="110"/>
      <c r="B53" s="109"/>
      <c r="C53" s="34"/>
      <c r="D53" s="34"/>
      <c r="E53" s="34"/>
      <c r="F53" s="34"/>
      <c r="G53" s="34"/>
      <c r="H53" s="34"/>
      <c r="I53" s="168"/>
      <c r="J53" s="168"/>
      <c r="K53" s="168"/>
      <c r="L53" s="34"/>
      <c r="M53" s="34"/>
      <c r="N53" s="34"/>
      <c r="O53" s="34"/>
      <c r="P53" s="34"/>
      <c r="Q53" s="34"/>
    </row>
    <row r="54" spans="1:17" s="7" customFormat="1" ht="24.95" customHeight="1">
      <c r="A54" s="110"/>
      <c r="B54" s="109"/>
      <c r="C54" s="34"/>
      <c r="D54" s="34"/>
      <c r="E54" s="34"/>
      <c r="F54" s="34"/>
      <c r="G54" s="34"/>
      <c r="H54" s="34"/>
      <c r="I54" s="168"/>
      <c r="J54" s="168"/>
      <c r="K54" s="168"/>
      <c r="L54" s="34"/>
      <c r="M54" s="34"/>
      <c r="N54" s="34"/>
      <c r="O54" s="34"/>
      <c r="P54" s="34"/>
      <c r="Q54" s="34"/>
    </row>
    <row r="55" spans="1:17" s="7" customFormat="1" ht="24.95" customHeight="1">
      <c r="A55" s="110"/>
      <c r="B55" s="109"/>
      <c r="C55" s="34"/>
      <c r="D55" s="34"/>
      <c r="E55" s="34"/>
      <c r="F55" s="34"/>
      <c r="G55" s="34"/>
      <c r="H55" s="34"/>
      <c r="I55" s="168"/>
      <c r="J55" s="168"/>
      <c r="K55" s="168"/>
      <c r="L55" s="34"/>
      <c r="M55" s="34"/>
      <c r="N55" s="34"/>
      <c r="O55" s="34"/>
      <c r="P55" s="34"/>
      <c r="Q55" s="34"/>
    </row>
    <row r="56" spans="1:17" s="7" customFormat="1" ht="24.95" customHeight="1">
      <c r="A56" s="110"/>
      <c r="B56" s="109"/>
      <c r="C56" s="34"/>
      <c r="D56" s="34"/>
      <c r="E56" s="34"/>
      <c r="F56" s="34"/>
      <c r="G56" s="34"/>
      <c r="H56" s="34"/>
      <c r="I56" s="168"/>
      <c r="J56" s="168"/>
      <c r="K56" s="168"/>
      <c r="L56" s="34"/>
      <c r="M56" s="34"/>
      <c r="N56" s="34"/>
      <c r="O56" s="34"/>
      <c r="P56" s="34"/>
      <c r="Q56" s="34"/>
    </row>
    <row r="57" spans="1:17" s="7" customFormat="1" ht="24.95" customHeight="1">
      <c r="A57" s="110"/>
      <c r="B57" s="109"/>
      <c r="C57" s="34"/>
      <c r="D57" s="34"/>
      <c r="E57" s="34"/>
      <c r="F57" s="34"/>
      <c r="G57" s="34"/>
      <c r="H57" s="34"/>
      <c r="I57" s="168"/>
      <c r="J57" s="168"/>
      <c r="K57" s="168"/>
      <c r="L57" s="34"/>
      <c r="M57" s="34"/>
      <c r="N57" s="34"/>
      <c r="O57" s="34"/>
      <c r="P57" s="34"/>
      <c r="Q57" s="34"/>
    </row>
    <row r="58" spans="1:17" s="7" customFormat="1" ht="24.95" customHeight="1">
      <c r="A58" s="110"/>
      <c r="B58" s="109"/>
      <c r="C58" s="34"/>
      <c r="D58" s="34"/>
      <c r="E58" s="34"/>
      <c r="F58" s="34"/>
      <c r="G58" s="34"/>
      <c r="H58" s="34"/>
      <c r="I58" s="168"/>
      <c r="J58" s="168"/>
      <c r="K58" s="168"/>
      <c r="L58" s="34"/>
      <c r="M58" s="34"/>
      <c r="N58" s="34"/>
      <c r="O58" s="34"/>
      <c r="P58" s="34"/>
      <c r="Q58" s="34"/>
    </row>
    <row r="59" spans="1:17" s="7" customFormat="1" ht="24.95" customHeight="1">
      <c r="A59" s="110"/>
      <c r="B59" s="109"/>
      <c r="C59" s="34"/>
      <c r="D59" s="34"/>
      <c r="E59" s="34"/>
      <c r="F59" s="34"/>
      <c r="G59" s="34"/>
      <c r="H59" s="34"/>
      <c r="I59" s="168"/>
      <c r="J59" s="168"/>
      <c r="K59" s="168"/>
      <c r="L59" s="34"/>
      <c r="M59" s="34"/>
      <c r="N59" s="34"/>
      <c r="O59" s="34"/>
      <c r="P59" s="34"/>
      <c r="Q59" s="34"/>
    </row>
    <row r="60" spans="1:17" s="7" customFormat="1" ht="24.95" customHeight="1">
      <c r="A60" s="110"/>
      <c r="B60" s="109"/>
      <c r="C60" s="34"/>
      <c r="D60" s="34"/>
      <c r="E60" s="34"/>
      <c r="F60" s="34"/>
      <c r="G60" s="34"/>
      <c r="H60" s="34"/>
      <c r="I60" s="168"/>
      <c r="J60" s="168"/>
      <c r="K60" s="168"/>
      <c r="L60" s="34"/>
      <c r="M60" s="34"/>
      <c r="N60" s="34"/>
      <c r="O60" s="34"/>
      <c r="P60" s="34"/>
      <c r="Q60" s="34"/>
    </row>
    <row r="61" spans="1:17" s="7" customFormat="1" ht="24.95" customHeight="1">
      <c r="A61" s="110"/>
      <c r="B61" s="109"/>
      <c r="C61" s="34"/>
      <c r="D61" s="34"/>
      <c r="E61" s="34"/>
      <c r="F61" s="34"/>
      <c r="G61" s="34"/>
      <c r="H61" s="34"/>
      <c r="I61" s="168"/>
      <c r="J61" s="168"/>
      <c r="K61" s="168"/>
      <c r="L61" s="34"/>
      <c r="M61" s="34"/>
      <c r="N61" s="34"/>
      <c r="O61" s="34"/>
      <c r="P61" s="34"/>
      <c r="Q61" s="34"/>
    </row>
    <row r="62" spans="1:17" s="7" customFormat="1" ht="24.95" customHeight="1">
      <c r="A62" s="110"/>
      <c r="B62" s="109"/>
      <c r="C62" s="34"/>
      <c r="D62" s="34"/>
      <c r="E62" s="34"/>
      <c r="F62" s="34"/>
      <c r="G62" s="34"/>
      <c r="H62" s="34"/>
      <c r="I62" s="168"/>
      <c r="J62" s="168"/>
      <c r="K62" s="168"/>
      <c r="L62" s="34"/>
      <c r="M62" s="34"/>
      <c r="N62" s="34"/>
      <c r="O62" s="34"/>
      <c r="P62" s="34"/>
      <c r="Q62" s="34"/>
    </row>
    <row r="63" spans="1:17" s="7" customFormat="1" ht="24.95" customHeight="1">
      <c r="A63" s="110"/>
      <c r="B63" s="109"/>
      <c r="C63" s="34"/>
      <c r="D63" s="34"/>
      <c r="E63" s="34"/>
      <c r="F63" s="34"/>
      <c r="G63" s="34"/>
      <c r="H63" s="34"/>
      <c r="I63" s="168"/>
      <c r="J63" s="168"/>
      <c r="K63" s="168"/>
      <c r="L63" s="34"/>
      <c r="M63" s="34"/>
      <c r="N63" s="34"/>
      <c r="O63" s="34"/>
      <c r="P63" s="34"/>
      <c r="Q63" s="34"/>
    </row>
    <row r="64" spans="1:17" s="7" customFormat="1" ht="24.95" customHeight="1">
      <c r="A64" s="110"/>
      <c r="B64" s="109"/>
      <c r="C64" s="34"/>
      <c r="D64" s="34"/>
      <c r="E64" s="34"/>
      <c r="F64" s="34"/>
      <c r="G64" s="34"/>
      <c r="H64" s="34"/>
      <c r="I64" s="168"/>
      <c r="J64" s="168"/>
      <c r="K64" s="168"/>
      <c r="L64" s="34"/>
      <c r="M64" s="34"/>
      <c r="N64" s="34"/>
      <c r="O64" s="34"/>
      <c r="P64" s="34"/>
      <c r="Q64" s="34"/>
    </row>
    <row r="65" spans="1:17" s="7" customFormat="1" ht="24.95" customHeight="1">
      <c r="A65" s="110"/>
      <c r="B65" s="109"/>
      <c r="C65" s="34"/>
      <c r="D65" s="34"/>
      <c r="E65" s="34"/>
      <c r="F65" s="34"/>
      <c r="G65" s="34"/>
      <c r="H65" s="34"/>
      <c r="I65" s="168"/>
      <c r="J65" s="168"/>
      <c r="K65" s="168"/>
      <c r="L65" s="34"/>
      <c r="M65" s="34"/>
      <c r="N65" s="34"/>
      <c r="O65" s="34"/>
      <c r="P65" s="34"/>
      <c r="Q65" s="34"/>
    </row>
    <row r="66" spans="1:17" s="7" customFormat="1" ht="24.95" customHeight="1">
      <c r="A66" s="110"/>
      <c r="B66" s="109"/>
      <c r="C66" s="34"/>
      <c r="D66" s="34"/>
      <c r="E66" s="34"/>
      <c r="F66" s="34"/>
      <c r="G66" s="34"/>
      <c r="H66" s="34"/>
      <c r="I66" s="168"/>
      <c r="J66" s="168"/>
      <c r="K66" s="168"/>
      <c r="L66" s="34"/>
      <c r="M66" s="34"/>
      <c r="N66" s="34"/>
      <c r="O66" s="34"/>
      <c r="P66" s="34"/>
      <c r="Q66" s="34"/>
    </row>
    <row r="67" spans="1:17" s="7" customFormat="1" ht="24.95" customHeight="1">
      <c r="A67" s="110"/>
      <c r="B67" s="109"/>
      <c r="C67" s="34"/>
      <c r="D67" s="34"/>
      <c r="E67" s="34"/>
      <c r="F67" s="34"/>
      <c r="G67" s="34"/>
      <c r="H67" s="34"/>
      <c r="I67" s="168"/>
      <c r="J67" s="168"/>
      <c r="K67" s="168"/>
      <c r="L67" s="34"/>
      <c r="M67" s="34"/>
      <c r="N67" s="34"/>
      <c r="O67" s="34"/>
      <c r="P67" s="34"/>
      <c r="Q67" s="34"/>
    </row>
    <row r="68" spans="1:17" s="7" customFormat="1" ht="24.95" customHeight="1">
      <c r="A68" s="110"/>
      <c r="B68" s="109"/>
      <c r="C68" s="34"/>
      <c r="D68" s="34"/>
      <c r="E68" s="34"/>
      <c r="F68" s="34"/>
      <c r="G68" s="34"/>
      <c r="H68" s="34"/>
      <c r="I68" s="168"/>
      <c r="J68" s="168"/>
      <c r="K68" s="168"/>
      <c r="L68" s="34"/>
      <c r="M68" s="34"/>
      <c r="N68" s="34"/>
      <c r="O68" s="34"/>
      <c r="P68" s="34"/>
      <c r="Q68" s="34"/>
    </row>
    <row r="69" spans="1:17" s="7" customFormat="1" ht="24.95" customHeight="1">
      <c r="A69" s="110"/>
      <c r="B69" s="109"/>
      <c r="C69" s="34"/>
      <c r="D69" s="34"/>
      <c r="E69" s="34"/>
      <c r="F69" s="34"/>
      <c r="G69" s="34"/>
      <c r="H69" s="34"/>
      <c r="I69" s="168"/>
      <c r="J69" s="168"/>
      <c r="K69" s="168"/>
      <c r="L69" s="34"/>
      <c r="M69" s="34"/>
      <c r="N69" s="34"/>
      <c r="O69" s="34"/>
      <c r="P69" s="34"/>
      <c r="Q69" s="34"/>
    </row>
    <row r="70" spans="1:17" s="7" customFormat="1" ht="24.95" customHeight="1">
      <c r="A70" s="110"/>
      <c r="B70" s="109"/>
      <c r="C70" s="34"/>
      <c r="D70" s="34"/>
      <c r="E70" s="34"/>
      <c r="F70" s="34"/>
      <c r="G70" s="34"/>
      <c r="H70" s="34"/>
      <c r="I70" s="168"/>
      <c r="J70" s="168"/>
      <c r="K70" s="168"/>
      <c r="L70" s="34"/>
      <c r="M70" s="34"/>
      <c r="N70" s="34"/>
      <c r="O70" s="34"/>
      <c r="P70" s="34"/>
      <c r="Q70" s="34"/>
    </row>
    <row r="71" spans="1:17" s="7" customFormat="1" ht="24.95" customHeight="1">
      <c r="A71" s="110"/>
      <c r="B71" s="109"/>
      <c r="C71" s="34"/>
      <c r="D71" s="34"/>
      <c r="E71" s="34"/>
      <c r="F71" s="34"/>
      <c r="G71" s="34"/>
      <c r="H71" s="34"/>
      <c r="I71" s="168"/>
      <c r="J71" s="168"/>
      <c r="K71" s="168"/>
      <c r="L71" s="34"/>
      <c r="M71" s="34"/>
      <c r="N71" s="34"/>
      <c r="O71" s="34"/>
      <c r="P71" s="34"/>
      <c r="Q71" s="34"/>
    </row>
    <row r="72" spans="1:17" s="7" customFormat="1" ht="24.95" customHeight="1">
      <c r="A72" s="110"/>
      <c r="B72" s="109"/>
      <c r="C72" s="34"/>
      <c r="D72" s="34"/>
      <c r="E72" s="34"/>
      <c r="F72" s="34"/>
      <c r="G72" s="34"/>
      <c r="H72" s="34"/>
      <c r="I72" s="168"/>
      <c r="J72" s="168"/>
      <c r="K72" s="168"/>
      <c r="L72" s="34"/>
      <c r="M72" s="34"/>
      <c r="N72" s="34"/>
      <c r="O72" s="34"/>
      <c r="P72" s="34"/>
      <c r="Q72" s="34"/>
    </row>
    <row r="73" spans="1:17" s="7" customFormat="1" ht="24.95" customHeight="1">
      <c r="A73" s="110"/>
      <c r="B73" s="109"/>
      <c r="C73" s="34"/>
      <c r="D73" s="34"/>
      <c r="E73" s="34"/>
      <c r="F73" s="34"/>
      <c r="G73" s="34"/>
      <c r="H73" s="34"/>
      <c r="I73" s="168"/>
      <c r="J73" s="168"/>
      <c r="K73" s="168"/>
      <c r="L73" s="34"/>
      <c r="M73" s="34"/>
      <c r="N73" s="34"/>
      <c r="O73" s="34"/>
      <c r="P73" s="34"/>
      <c r="Q73" s="34"/>
    </row>
    <row r="74" spans="1:17" s="7" customFormat="1" ht="24.95" customHeight="1">
      <c r="A74" s="110"/>
      <c r="B74" s="109"/>
      <c r="C74" s="34"/>
      <c r="D74" s="34"/>
      <c r="E74" s="34"/>
      <c r="F74" s="34"/>
      <c r="G74" s="34"/>
      <c r="H74" s="34"/>
      <c r="I74" s="168"/>
      <c r="J74" s="168"/>
      <c r="K74" s="168"/>
      <c r="L74" s="34"/>
      <c r="M74" s="34"/>
      <c r="N74" s="34"/>
      <c r="O74" s="34"/>
      <c r="P74" s="34"/>
      <c r="Q74" s="34"/>
    </row>
    <row r="75" spans="1:17" s="7" customFormat="1" ht="24.95" customHeight="1">
      <c r="A75" s="110"/>
      <c r="B75" s="109"/>
      <c r="C75" s="34"/>
      <c r="D75" s="34"/>
      <c r="E75" s="34"/>
      <c r="F75" s="34"/>
      <c r="G75" s="34"/>
      <c r="H75" s="34"/>
      <c r="I75" s="168"/>
      <c r="J75" s="168"/>
      <c r="K75" s="168"/>
      <c r="L75" s="34"/>
      <c r="M75" s="34"/>
      <c r="N75" s="34"/>
      <c r="O75" s="34"/>
      <c r="P75" s="34"/>
      <c r="Q75" s="34"/>
    </row>
    <row r="76" spans="1:17" s="7" customFormat="1" ht="24.95" customHeight="1">
      <c r="A76" s="110"/>
      <c r="B76" s="109"/>
      <c r="C76" s="34"/>
      <c r="D76" s="34"/>
      <c r="E76" s="34"/>
      <c r="F76" s="34"/>
      <c r="G76" s="34"/>
      <c r="H76" s="34"/>
      <c r="I76" s="168"/>
      <c r="J76" s="168"/>
      <c r="K76" s="168"/>
      <c r="L76" s="34"/>
      <c r="M76" s="34"/>
      <c r="N76" s="34"/>
      <c r="O76" s="34"/>
      <c r="P76" s="34"/>
      <c r="Q76" s="34"/>
    </row>
    <row r="77" spans="1:17" s="7" customFormat="1" ht="24.95" customHeight="1">
      <c r="A77" s="110"/>
      <c r="B77" s="109"/>
      <c r="C77" s="34"/>
      <c r="D77" s="34"/>
      <c r="E77" s="34"/>
      <c r="F77" s="34"/>
      <c r="G77" s="34"/>
      <c r="H77" s="34"/>
      <c r="I77" s="168"/>
      <c r="J77" s="168"/>
      <c r="K77" s="168"/>
      <c r="L77" s="34"/>
      <c r="M77" s="34"/>
      <c r="N77" s="34"/>
      <c r="O77" s="34"/>
      <c r="P77" s="34"/>
      <c r="Q77" s="34"/>
    </row>
    <row r="78" spans="1:17" s="7" customFormat="1" ht="24.95" customHeight="1">
      <c r="A78" s="110"/>
      <c r="B78" s="109"/>
      <c r="C78" s="34"/>
      <c r="D78" s="34"/>
      <c r="E78" s="34"/>
      <c r="F78" s="34"/>
      <c r="G78" s="34"/>
      <c r="H78" s="34"/>
      <c r="I78" s="168"/>
      <c r="J78" s="168"/>
      <c r="K78" s="168"/>
      <c r="L78" s="34"/>
      <c r="M78" s="34"/>
      <c r="N78" s="34"/>
      <c r="O78" s="34"/>
      <c r="P78" s="34"/>
      <c r="Q78" s="34"/>
    </row>
    <row r="79" spans="1:17" s="7" customFormat="1" ht="24.95" customHeight="1">
      <c r="A79" s="110"/>
      <c r="B79" s="109"/>
      <c r="C79" s="34"/>
      <c r="D79" s="34"/>
      <c r="E79" s="34"/>
      <c r="F79" s="34"/>
      <c r="G79" s="34"/>
      <c r="H79" s="34"/>
      <c r="I79" s="168"/>
      <c r="J79" s="168"/>
      <c r="K79" s="168"/>
      <c r="L79" s="34"/>
      <c r="M79" s="34"/>
      <c r="N79" s="34"/>
      <c r="O79" s="34"/>
      <c r="P79" s="34"/>
      <c r="Q79" s="34"/>
    </row>
    <row r="80" spans="1:17" s="7" customFormat="1" ht="24.95" customHeight="1">
      <c r="A80" s="110"/>
      <c r="B80" s="109"/>
      <c r="C80" s="34"/>
      <c r="D80" s="34"/>
      <c r="E80" s="34"/>
      <c r="F80" s="34"/>
      <c r="G80" s="34"/>
      <c r="H80" s="34"/>
      <c r="I80" s="168"/>
      <c r="J80" s="168"/>
      <c r="K80" s="168"/>
      <c r="L80" s="34"/>
      <c r="M80" s="34"/>
      <c r="N80" s="34"/>
      <c r="O80" s="34"/>
      <c r="P80" s="34"/>
      <c r="Q80" s="34"/>
    </row>
    <row r="81" spans="1:17" s="7" customFormat="1" ht="24.95" customHeight="1">
      <c r="A81" s="110"/>
      <c r="B81" s="109"/>
      <c r="C81" s="34"/>
      <c r="D81" s="34"/>
      <c r="E81" s="34"/>
      <c r="F81" s="34"/>
      <c r="G81" s="34"/>
      <c r="H81" s="34"/>
      <c r="I81" s="168"/>
      <c r="J81" s="168"/>
      <c r="K81" s="168"/>
      <c r="L81" s="34"/>
      <c r="M81" s="34"/>
      <c r="N81" s="34"/>
      <c r="O81" s="34"/>
      <c r="P81" s="34"/>
      <c r="Q81" s="34"/>
    </row>
    <row r="82" spans="1:17" s="7" customFormat="1" ht="24.95" customHeight="1">
      <c r="A82" s="110"/>
      <c r="B82" s="109"/>
      <c r="C82" s="34"/>
      <c r="D82" s="34"/>
      <c r="E82" s="34"/>
      <c r="F82" s="34"/>
      <c r="G82" s="34"/>
      <c r="H82" s="34"/>
      <c r="I82" s="168"/>
      <c r="J82" s="168"/>
      <c r="K82" s="168"/>
      <c r="L82" s="34"/>
      <c r="M82" s="34"/>
      <c r="N82" s="34"/>
      <c r="O82" s="34"/>
      <c r="P82" s="34"/>
      <c r="Q82" s="34"/>
    </row>
    <row r="83" spans="1:17" s="7" customFormat="1" ht="24.95" customHeight="1">
      <c r="A83" s="110"/>
      <c r="B83" s="109"/>
      <c r="C83" s="34"/>
      <c r="D83" s="34"/>
      <c r="E83" s="34"/>
      <c r="F83" s="34"/>
      <c r="G83" s="34"/>
      <c r="H83" s="34"/>
      <c r="I83" s="168"/>
      <c r="J83" s="168"/>
      <c r="K83" s="168"/>
      <c r="L83" s="34"/>
      <c r="M83" s="34"/>
      <c r="N83" s="34"/>
      <c r="O83" s="34"/>
      <c r="P83" s="34"/>
      <c r="Q83" s="34"/>
    </row>
    <row r="84" spans="1:17" s="7" customFormat="1" ht="24.95" customHeight="1">
      <c r="A84" s="110"/>
      <c r="B84" s="109"/>
      <c r="C84" s="34"/>
      <c r="D84" s="34"/>
      <c r="E84" s="34"/>
      <c r="F84" s="34"/>
      <c r="G84" s="34"/>
      <c r="H84" s="34"/>
      <c r="I84" s="168"/>
      <c r="J84" s="168"/>
      <c r="K84" s="168"/>
      <c r="L84" s="34"/>
      <c r="M84" s="34"/>
      <c r="N84" s="34"/>
      <c r="O84" s="34"/>
      <c r="P84" s="34"/>
      <c r="Q84" s="34"/>
    </row>
    <row r="85" spans="1:17" s="7" customFormat="1" ht="24.95" customHeight="1">
      <c r="A85" s="110"/>
      <c r="B85" s="109"/>
      <c r="C85" s="34"/>
      <c r="D85" s="34"/>
      <c r="E85" s="34"/>
      <c r="F85" s="34"/>
      <c r="G85" s="34"/>
      <c r="H85" s="34"/>
      <c r="I85" s="168"/>
      <c r="J85" s="168"/>
      <c r="K85" s="168"/>
      <c r="L85" s="34"/>
      <c r="M85" s="34"/>
      <c r="N85" s="34"/>
      <c r="O85" s="34"/>
      <c r="P85" s="34"/>
      <c r="Q85" s="34"/>
    </row>
    <row r="86" spans="1:17" s="7" customFormat="1" ht="24.95" customHeight="1">
      <c r="A86" s="110"/>
      <c r="B86" s="109"/>
      <c r="C86" s="34"/>
      <c r="D86" s="34"/>
      <c r="E86" s="34"/>
      <c r="F86" s="34"/>
      <c r="G86" s="34"/>
      <c r="H86" s="34"/>
      <c r="I86" s="168"/>
      <c r="J86" s="168"/>
      <c r="K86" s="168"/>
      <c r="L86" s="34"/>
      <c r="M86" s="34"/>
      <c r="N86" s="34"/>
      <c r="O86" s="34"/>
      <c r="P86" s="34"/>
      <c r="Q86" s="34"/>
    </row>
    <row r="87" spans="1:17" s="7" customFormat="1" ht="24.95" customHeight="1">
      <c r="A87" s="110"/>
      <c r="B87" s="109"/>
      <c r="C87" s="34"/>
      <c r="D87" s="34"/>
      <c r="E87" s="34"/>
      <c r="F87" s="34"/>
      <c r="G87" s="34"/>
      <c r="H87" s="34"/>
      <c r="I87" s="168"/>
      <c r="J87" s="168"/>
      <c r="K87" s="168"/>
      <c r="L87" s="34"/>
      <c r="M87" s="34"/>
      <c r="N87" s="34"/>
      <c r="O87" s="34"/>
      <c r="P87" s="34"/>
      <c r="Q87" s="34"/>
    </row>
    <row r="88" spans="1:17" s="7" customFormat="1" ht="24.95" customHeight="1">
      <c r="A88" s="110"/>
      <c r="B88" s="109"/>
      <c r="C88" s="34"/>
      <c r="D88" s="34"/>
      <c r="E88" s="34"/>
      <c r="F88" s="34"/>
      <c r="G88" s="34"/>
      <c r="H88" s="34"/>
      <c r="I88" s="168"/>
      <c r="J88" s="168"/>
      <c r="K88" s="168"/>
      <c r="L88" s="34"/>
      <c r="M88" s="34"/>
      <c r="N88" s="34"/>
      <c r="O88" s="34"/>
      <c r="P88" s="34"/>
      <c r="Q88" s="34"/>
    </row>
    <row r="89" spans="1:17" s="7" customFormat="1" ht="24.95" customHeight="1">
      <c r="A89" s="110"/>
      <c r="B89" s="109"/>
      <c r="C89" s="34"/>
      <c r="D89" s="34"/>
      <c r="E89" s="34"/>
      <c r="F89" s="34"/>
      <c r="G89" s="34"/>
      <c r="H89" s="34"/>
      <c r="I89" s="168"/>
      <c r="J89" s="168"/>
      <c r="K89" s="168"/>
      <c r="L89" s="34"/>
      <c r="M89" s="34"/>
      <c r="N89" s="34"/>
      <c r="O89" s="34"/>
      <c r="P89" s="34"/>
      <c r="Q89" s="34"/>
    </row>
    <row r="90" spans="1:17" s="7" customFormat="1" ht="24.95" customHeight="1">
      <c r="A90" s="110"/>
      <c r="B90" s="109"/>
      <c r="C90" s="34"/>
      <c r="D90" s="34"/>
      <c r="E90" s="34"/>
      <c r="F90" s="34"/>
      <c r="G90" s="34"/>
      <c r="H90" s="34"/>
      <c r="I90" s="168"/>
      <c r="J90" s="168"/>
      <c r="K90" s="168"/>
      <c r="L90" s="34"/>
      <c r="M90" s="34"/>
      <c r="N90" s="34"/>
      <c r="O90" s="34"/>
      <c r="P90" s="34"/>
      <c r="Q90" s="34"/>
    </row>
    <row r="91" spans="1:17" s="7" customFormat="1" ht="24.95" customHeight="1">
      <c r="A91" s="110"/>
      <c r="B91" s="109"/>
      <c r="C91" s="34"/>
      <c r="D91" s="34"/>
      <c r="E91" s="34"/>
      <c r="F91" s="34"/>
      <c r="G91" s="34"/>
      <c r="H91" s="34"/>
      <c r="I91" s="168"/>
      <c r="J91" s="168"/>
      <c r="K91" s="168"/>
      <c r="L91" s="34"/>
      <c r="M91" s="34"/>
      <c r="N91" s="34"/>
      <c r="O91" s="34"/>
      <c r="P91" s="34"/>
      <c r="Q91" s="34"/>
    </row>
    <row r="92" spans="1:17" s="7" customFormat="1" ht="24.95" customHeight="1">
      <c r="A92" s="110"/>
      <c r="B92" s="109"/>
      <c r="C92" s="34"/>
      <c r="D92" s="34"/>
      <c r="E92" s="34"/>
      <c r="F92" s="34"/>
      <c r="G92" s="34"/>
      <c r="H92" s="34"/>
      <c r="I92" s="168"/>
      <c r="J92" s="168"/>
      <c r="K92" s="168"/>
      <c r="L92" s="34"/>
      <c r="M92" s="34"/>
      <c r="N92" s="34"/>
      <c r="O92" s="34"/>
      <c r="P92" s="34"/>
      <c r="Q92" s="34"/>
    </row>
    <row r="93" spans="1:17" s="7" customFormat="1" ht="24.95" customHeight="1">
      <c r="A93" s="110"/>
      <c r="B93" s="109"/>
      <c r="C93" s="34"/>
      <c r="D93" s="34"/>
      <c r="E93" s="34"/>
      <c r="F93" s="34"/>
      <c r="G93" s="34"/>
      <c r="H93" s="34"/>
      <c r="I93" s="168"/>
      <c r="J93" s="168"/>
      <c r="K93" s="168"/>
      <c r="L93" s="34"/>
      <c r="M93" s="34"/>
      <c r="N93" s="34"/>
      <c r="O93" s="34"/>
      <c r="P93" s="34"/>
      <c r="Q93" s="34"/>
    </row>
  </sheetData>
  <sheetProtection sheet="1" objects="1" scenarios="1" selectLockedCells="1"/>
  <mergeCells count="34">
    <mergeCell ref="B15:F15"/>
    <mergeCell ref="A33:D33"/>
    <mergeCell ref="B16:F16"/>
    <mergeCell ref="B20:F20"/>
    <mergeCell ref="B24:F24"/>
    <mergeCell ref="E27:F27"/>
    <mergeCell ref="E29:F29"/>
    <mergeCell ref="E30:F30"/>
    <mergeCell ref="A29:D29"/>
    <mergeCell ref="A27:D27"/>
    <mergeCell ref="A28:D28"/>
    <mergeCell ref="E28:F28"/>
    <mergeCell ref="A31:D31"/>
    <mergeCell ref="B5:F5"/>
    <mergeCell ref="B6:F6"/>
    <mergeCell ref="B9:F9"/>
    <mergeCell ref="B12:F12"/>
    <mergeCell ref="A1:F1"/>
    <mergeCell ref="B2:F2"/>
    <mergeCell ref="B3:F3"/>
    <mergeCell ref="B4:F4"/>
    <mergeCell ref="E38:F38"/>
    <mergeCell ref="A30:D30"/>
    <mergeCell ref="A34:D34"/>
    <mergeCell ref="A36:D36"/>
    <mergeCell ref="A37:D37"/>
    <mergeCell ref="A38:D38"/>
    <mergeCell ref="A35:D35"/>
    <mergeCell ref="E33:F33"/>
    <mergeCell ref="E34:F34"/>
    <mergeCell ref="E35:F35"/>
    <mergeCell ref="E36:F36"/>
    <mergeCell ref="E37:F37"/>
    <mergeCell ref="A32:D32"/>
  </mergeCells>
  <phoneticPr fontId="7" type="noConversion"/>
  <hyperlinks>
    <hyperlink ref="E28" r:id="rId1" display="\\smb-a.isilona.imk-ifu.kit.edu\rawdata\...."/>
  </hyperlinks>
  <pageMargins left="0.7" right="0.7" top="0.78749999999999998" bottom="0.78749999999999998" header="0.51180555555555551" footer="0.51180555555555551"/>
  <pageSetup paperSize="9" firstPageNumber="0" orientation="portrait" horizontalDpi="300" verticalDpi="300" r:id="rId2"/>
  <headerFooter alignWithMargins="0">
    <oddHeader>&amp;RS. &amp;P/ &amp;N&amp;CForschungszentrum Jülich GmbH
 Messstellenkonfiguration&amp;LIBG-3_TERENO_FB 7-204</oddHeader>
    <oddFooter>&amp;RRevision: 2&amp;CGültig seit: 2013-09-25
gedruckt am: 2016-02-04&amp;LErstellt: Thomas Muckenheim
Geprüft: Thomas Muckenheim
Freigabe: Dr. Ralf Kunkel</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4117" r:id="rId5" name="Button 21">
              <controlPr defaultSize="0" print="0" autoFill="0" autoPict="0" macro="[0]!Schaltfläche4_BeiKlick">
                <anchor moveWithCells="1" sizeWithCells="1">
                  <from>
                    <xdr:col>1</xdr:col>
                    <xdr:colOff>9525</xdr:colOff>
                    <xdr:row>6</xdr:row>
                    <xdr:rowOff>28575</xdr:rowOff>
                  </from>
                  <to>
                    <xdr:col>2</xdr:col>
                    <xdr:colOff>0</xdr:colOff>
                    <xdr:row>7</xdr:row>
                    <xdr:rowOff>257175</xdr:rowOff>
                  </to>
                </anchor>
              </controlPr>
            </control>
          </mc:Choice>
        </mc:AlternateContent>
        <mc:AlternateContent xmlns:mc="http://schemas.openxmlformats.org/markup-compatibility/2006">
          <mc:Choice Requires="x14">
            <control shapeId="4118" r:id="rId6" name="Button 22">
              <controlPr defaultSize="0" print="0" autoFill="0" autoPict="0" macro="[0]!Schaltfläche5_BeiKlick">
                <anchor moveWithCells="1" sizeWithCells="1">
                  <from>
                    <xdr:col>1</xdr:col>
                    <xdr:colOff>9525</xdr:colOff>
                    <xdr:row>9</xdr:row>
                    <xdr:rowOff>0</xdr:rowOff>
                  </from>
                  <to>
                    <xdr:col>1</xdr:col>
                    <xdr:colOff>1390650</xdr:colOff>
                    <xdr:row>11</xdr:row>
                    <xdr:rowOff>0</xdr:rowOff>
                  </to>
                </anchor>
              </controlPr>
            </control>
          </mc:Choice>
        </mc:AlternateContent>
        <mc:AlternateContent xmlns:mc="http://schemas.openxmlformats.org/markup-compatibility/2006">
          <mc:Choice Requires="x14">
            <control shapeId="4119" r:id="rId7" name="Button 23">
              <controlPr defaultSize="0" print="0" autoFill="0" autoPict="0" macro="[0]!Schaltfläche6_BeiKlick">
                <anchor moveWithCells="1" sizeWithCells="1">
                  <from>
                    <xdr:col>1</xdr:col>
                    <xdr:colOff>19050</xdr:colOff>
                    <xdr:row>12</xdr:row>
                    <xdr:rowOff>28575</xdr:rowOff>
                  </from>
                  <to>
                    <xdr:col>1</xdr:col>
                    <xdr:colOff>1352550</xdr:colOff>
                    <xdr:row>13</xdr:row>
                    <xdr:rowOff>266700</xdr:rowOff>
                  </to>
                </anchor>
              </controlPr>
            </control>
          </mc:Choice>
        </mc:AlternateContent>
        <mc:AlternateContent xmlns:mc="http://schemas.openxmlformats.org/markup-compatibility/2006">
          <mc:Choice Requires="x14">
            <control shapeId="4121" r:id="rId8" name="Button 25">
              <controlPr defaultSize="0" print="0" autoFill="0" autoPict="0" macro="[0]!Schaltfläche7_BeiKlick">
                <anchor moveWithCells="1" sizeWithCells="1">
                  <from>
                    <xdr:col>1</xdr:col>
                    <xdr:colOff>0</xdr:colOff>
                    <xdr:row>16</xdr:row>
                    <xdr:rowOff>9525</xdr:rowOff>
                  </from>
                  <to>
                    <xdr:col>1</xdr:col>
                    <xdr:colOff>1390650</xdr:colOff>
                    <xdr:row>18</xdr:row>
                    <xdr:rowOff>9525</xdr:rowOff>
                  </to>
                </anchor>
              </controlPr>
            </control>
          </mc:Choice>
        </mc:AlternateContent>
        <mc:AlternateContent xmlns:mc="http://schemas.openxmlformats.org/markup-compatibility/2006">
          <mc:Choice Requires="x14">
            <control shapeId="4122" r:id="rId9" name="Button 26">
              <controlPr defaultSize="0" print="0" autoFill="0" autoPict="0" macro="[0]!Schaltfläche2_BeiKlick">
                <anchor moveWithCells="1" sizeWithCells="1">
                  <from>
                    <xdr:col>1</xdr:col>
                    <xdr:colOff>19050</xdr:colOff>
                    <xdr:row>19</xdr:row>
                    <xdr:rowOff>276225</xdr:rowOff>
                  </from>
                  <to>
                    <xdr:col>1</xdr:col>
                    <xdr:colOff>1381125</xdr:colOff>
                    <xdr:row>22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468" yWindow="362" count="5">
        <x14:dataValidation type="list" allowBlank="1" showInputMessage="1" showErrorMessage="1">
          <x14:formula1>
            <xm:f>'physikalische Eigenschaft'!$B$6:$B$90</xm:f>
          </x14:formula1>
          <xm:sqref>E41:E93</xm:sqref>
        </x14:dataValidation>
        <x14:dataValidation type="list" allowBlank="1" showInputMessage="1" showErrorMessage="1">
          <x14:formula1>
            <xm:f>Messstellenkonfiguration!$F$16:$F$65</xm:f>
          </x14:formula1>
          <xm:sqref>N41 N44:N93</xm:sqref>
        </x14:dataValidation>
        <x14:dataValidation type="list" allowBlank="1" showInputMessage="1" showErrorMessage="1">
          <x14:formula1>
            <xm:f>Medium!$B$6:$B$25</xm:f>
          </x14:formula1>
          <xm:sqref>D41:D93</xm:sqref>
        </x14:dataValidation>
        <x14:dataValidation type="list" allowBlank="1" showInputMessage="1" showErrorMessage="1">
          <x14:formula1>
            <xm:f>Messwerttyp!$B$6:$B$30</xm:f>
          </x14:formula1>
          <xm:sqref>F41:F93</xm:sqref>
        </x14:dataValidation>
        <x14:dataValidation type="list" allowBlank="1" showInputMessage="1" showErrorMessage="1">
          <x14:formula1>
            <xm:f>Einheit!$B$6:$B$214</xm:f>
          </x14:formula1>
          <xm:sqref>H41:H93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tt5"/>
  <dimension ref="A1:I104"/>
  <sheetViews>
    <sheetView zoomScaleNormal="100" workbookViewId="0">
      <pane ySplit="5" topLeftCell="A80" activePane="bottomLeft" state="frozen"/>
      <selection activeCell="B1" sqref="B1"/>
      <selection pane="bottomLeft" activeCell="C100" sqref="C100"/>
    </sheetView>
  </sheetViews>
  <sheetFormatPr baseColWidth="10" defaultColWidth="10.85546875" defaultRowHeight="15.75"/>
  <cols>
    <col min="1" max="1" width="0.28515625" style="8" customWidth="1"/>
    <col min="2" max="2" width="31.28515625" style="8" customWidth="1"/>
    <col min="3" max="3" width="31.140625" style="8" customWidth="1"/>
    <col min="4" max="4" width="31.85546875" style="8" customWidth="1"/>
    <col min="5" max="5" width="26.85546875" style="8" customWidth="1"/>
    <col min="6" max="6" width="28.42578125" style="56" customWidth="1"/>
    <col min="7" max="7" width="66.42578125" style="8" customWidth="1"/>
    <col min="8" max="8" width="46.28515625" style="8" customWidth="1"/>
    <col min="9" max="9" width="36.42578125" style="8" customWidth="1"/>
    <col min="10" max="10" width="20.42578125" style="8" customWidth="1"/>
    <col min="11" max="12" width="36.42578125" style="8" customWidth="1"/>
    <col min="13" max="16384" width="10.85546875" style="8"/>
  </cols>
  <sheetData>
    <row r="1" spans="1:9" ht="27" customHeight="1">
      <c r="B1" s="225" t="s">
        <v>912</v>
      </c>
      <c r="C1" s="226"/>
      <c r="D1" s="226"/>
      <c r="E1" s="226"/>
      <c r="F1" s="226"/>
      <c r="G1" s="226"/>
      <c r="H1" s="226"/>
    </row>
    <row r="2" spans="1:9" ht="27" customHeight="1">
      <c r="B2" s="227" t="s">
        <v>1006</v>
      </c>
      <c r="C2" s="208"/>
      <c r="D2" s="208"/>
      <c r="E2" s="208"/>
      <c r="F2" s="208"/>
      <c r="G2" s="208"/>
      <c r="H2" s="208"/>
    </row>
    <row r="3" spans="1:9" ht="27" customHeight="1">
      <c r="B3" s="227" t="s">
        <v>1007</v>
      </c>
      <c r="C3" s="208"/>
      <c r="D3" s="208"/>
      <c r="E3" s="208"/>
      <c r="F3" s="208"/>
      <c r="G3" s="208"/>
      <c r="H3" s="208"/>
    </row>
    <row r="4" spans="1:9" ht="32.1" customHeight="1">
      <c r="B4" s="228"/>
      <c r="C4" s="229"/>
      <c r="D4" s="229"/>
      <c r="E4" s="229"/>
      <c r="F4" s="229"/>
      <c r="G4" s="229"/>
      <c r="H4" s="229"/>
    </row>
    <row r="5" spans="1:9" s="4" customFormat="1" ht="45" customHeight="1">
      <c r="A5" s="6" t="s">
        <v>316</v>
      </c>
      <c r="B5" s="55" t="s">
        <v>1016</v>
      </c>
      <c r="C5" s="55" t="s">
        <v>1017</v>
      </c>
      <c r="D5" s="55" t="s">
        <v>1018</v>
      </c>
      <c r="E5" s="55" t="s">
        <v>1019</v>
      </c>
      <c r="F5" s="55" t="s">
        <v>5</v>
      </c>
      <c r="G5" s="55" t="s">
        <v>997</v>
      </c>
      <c r="H5" s="55" t="s">
        <v>6</v>
      </c>
      <c r="I5" s="55" t="s">
        <v>1011</v>
      </c>
    </row>
    <row r="6" spans="1:9" s="9" customFormat="1" ht="24.95" customHeight="1">
      <c r="A6" s="139">
        <v>47</v>
      </c>
      <c r="B6" s="140" t="s">
        <v>19</v>
      </c>
      <c r="C6" s="141" t="s">
        <v>20</v>
      </c>
      <c r="D6" s="142" t="s">
        <v>21</v>
      </c>
      <c r="E6" s="143" t="s">
        <v>22</v>
      </c>
      <c r="F6" s="144" t="s">
        <v>23</v>
      </c>
      <c r="G6" s="143" t="s">
        <v>24</v>
      </c>
      <c r="H6" s="145" t="s">
        <v>25</v>
      </c>
      <c r="I6" s="82"/>
    </row>
    <row r="7" spans="1:9" s="9" customFormat="1" ht="24.95" customHeight="1">
      <c r="A7" s="139">
        <v>46</v>
      </c>
      <c r="B7" s="146" t="s">
        <v>1008</v>
      </c>
      <c r="C7" s="147" t="s">
        <v>15</v>
      </c>
      <c r="D7" s="148" t="s">
        <v>16</v>
      </c>
      <c r="E7" s="149">
        <v>107</v>
      </c>
      <c r="F7" s="150"/>
      <c r="G7" s="149" t="s">
        <v>17</v>
      </c>
      <c r="H7" s="151" t="s">
        <v>18</v>
      </c>
      <c r="I7" s="83"/>
    </row>
    <row r="8" spans="1:9" s="9" customFormat="1" ht="24.95" customHeight="1">
      <c r="A8" s="139">
        <v>19</v>
      </c>
      <c r="B8" s="146" t="s">
        <v>26</v>
      </c>
      <c r="C8" s="147" t="s">
        <v>27</v>
      </c>
      <c r="D8" s="148" t="s">
        <v>28</v>
      </c>
      <c r="E8" s="149" t="s">
        <v>29</v>
      </c>
      <c r="F8" s="150"/>
      <c r="G8" s="149" t="s">
        <v>30</v>
      </c>
      <c r="H8" s="151"/>
      <c r="I8" s="83"/>
    </row>
    <row r="9" spans="1:9" s="9" customFormat="1" ht="24.95" customHeight="1">
      <c r="A9" s="139">
        <v>36</v>
      </c>
      <c r="B9" s="146" t="s">
        <v>31</v>
      </c>
      <c r="C9" s="147" t="s">
        <v>15</v>
      </c>
      <c r="D9" s="148" t="s">
        <v>32</v>
      </c>
      <c r="E9" s="149" t="s">
        <v>33</v>
      </c>
      <c r="F9" s="150"/>
      <c r="G9" s="149"/>
      <c r="H9" s="151" t="s">
        <v>34</v>
      </c>
      <c r="I9" s="83"/>
    </row>
    <row r="10" spans="1:9" s="9" customFormat="1" ht="24.95" customHeight="1">
      <c r="A10" s="139">
        <v>35</v>
      </c>
      <c r="B10" s="146" t="s">
        <v>35</v>
      </c>
      <c r="C10" s="147" t="s">
        <v>36</v>
      </c>
      <c r="D10" s="148" t="s">
        <v>37</v>
      </c>
      <c r="E10" s="149" t="s">
        <v>38</v>
      </c>
      <c r="F10" s="150" t="s">
        <v>39</v>
      </c>
      <c r="G10" s="149"/>
      <c r="H10" s="151"/>
      <c r="I10" s="83"/>
    </row>
    <row r="11" spans="1:9" s="9" customFormat="1" ht="24.95" customHeight="1">
      <c r="A11" s="139">
        <v>55</v>
      </c>
      <c r="B11" s="146" t="s">
        <v>40</v>
      </c>
      <c r="C11" s="147" t="s">
        <v>15</v>
      </c>
      <c r="D11" s="148" t="s">
        <v>41</v>
      </c>
      <c r="E11" s="149" t="s">
        <v>42</v>
      </c>
      <c r="F11" s="150"/>
      <c r="G11" s="149" t="s">
        <v>43</v>
      </c>
      <c r="H11" s="151" t="s">
        <v>18</v>
      </c>
      <c r="I11" s="83"/>
    </row>
    <row r="12" spans="1:9" s="9" customFormat="1" ht="24.95" customHeight="1">
      <c r="A12" s="139">
        <v>54</v>
      </c>
      <c r="B12" s="146" t="s">
        <v>44</v>
      </c>
      <c r="C12" s="147" t="s">
        <v>15</v>
      </c>
      <c r="D12" s="148" t="s">
        <v>45</v>
      </c>
      <c r="E12" s="149" t="s">
        <v>46</v>
      </c>
      <c r="F12" s="150"/>
      <c r="G12" s="149" t="s">
        <v>47</v>
      </c>
      <c r="H12" s="151" t="s">
        <v>18</v>
      </c>
      <c r="I12" s="83"/>
    </row>
    <row r="13" spans="1:9" s="9" customFormat="1" ht="24.95" customHeight="1">
      <c r="A13" s="139">
        <v>37</v>
      </c>
      <c r="B13" s="146" t="s">
        <v>48</v>
      </c>
      <c r="C13" s="147" t="s">
        <v>15</v>
      </c>
      <c r="D13" s="148"/>
      <c r="E13" s="149" t="s">
        <v>49</v>
      </c>
      <c r="F13" s="150"/>
      <c r="G13" s="149" t="s">
        <v>50</v>
      </c>
      <c r="H13" s="151" t="s">
        <v>51</v>
      </c>
      <c r="I13" s="83"/>
    </row>
    <row r="14" spans="1:9" s="9" customFormat="1" ht="24.95" customHeight="1">
      <c r="A14" s="139">
        <v>106</v>
      </c>
      <c r="B14" s="146" t="s">
        <v>52</v>
      </c>
      <c r="C14" s="147" t="s">
        <v>53</v>
      </c>
      <c r="D14" s="148" t="s">
        <v>54</v>
      </c>
      <c r="E14" s="149" t="s">
        <v>55</v>
      </c>
      <c r="F14" s="150"/>
      <c r="G14" s="149"/>
      <c r="H14" s="151"/>
      <c r="I14" s="83"/>
    </row>
    <row r="15" spans="1:9" s="9" customFormat="1" ht="24.95" customHeight="1">
      <c r="A15" s="139">
        <v>42</v>
      </c>
      <c r="B15" s="146" t="s">
        <v>56</v>
      </c>
      <c r="C15" s="147" t="s">
        <v>20</v>
      </c>
      <c r="D15" s="148" t="s">
        <v>57</v>
      </c>
      <c r="E15" s="149" t="s">
        <v>58</v>
      </c>
      <c r="F15" s="150" t="s">
        <v>59</v>
      </c>
      <c r="G15" s="149" t="s">
        <v>60</v>
      </c>
      <c r="H15" s="151" t="s">
        <v>61</v>
      </c>
      <c r="I15" s="83"/>
    </row>
    <row r="16" spans="1:9" s="9" customFormat="1" ht="24.95" customHeight="1">
      <c r="A16" s="139">
        <v>87</v>
      </c>
      <c r="B16" s="146" t="s">
        <v>62</v>
      </c>
      <c r="C16" s="147" t="s">
        <v>63</v>
      </c>
      <c r="D16" s="148" t="s">
        <v>64</v>
      </c>
      <c r="E16" s="149" t="s">
        <v>65</v>
      </c>
      <c r="F16" s="150"/>
      <c r="G16" s="149"/>
      <c r="H16" s="151" t="s">
        <v>66</v>
      </c>
      <c r="I16" s="83"/>
    </row>
    <row r="17" spans="1:9" s="9" customFormat="1" ht="24.95" customHeight="1">
      <c r="A17" s="139">
        <v>95</v>
      </c>
      <c r="B17" s="146" t="s">
        <v>67</v>
      </c>
      <c r="C17" s="147" t="s">
        <v>68</v>
      </c>
      <c r="D17" s="148" t="s">
        <v>4</v>
      </c>
      <c r="E17" s="149" t="s">
        <v>68</v>
      </c>
      <c r="F17" s="150"/>
      <c r="G17" s="149"/>
      <c r="H17" s="151" t="s">
        <v>69</v>
      </c>
      <c r="I17" s="83"/>
    </row>
    <row r="18" spans="1:9" s="9" customFormat="1" ht="24.95" customHeight="1">
      <c r="A18" s="139">
        <v>18</v>
      </c>
      <c r="B18" s="146" t="s">
        <v>70</v>
      </c>
      <c r="C18" s="147" t="s">
        <v>71</v>
      </c>
      <c r="D18" s="148" t="s">
        <v>72</v>
      </c>
      <c r="E18" s="149" t="s">
        <v>73</v>
      </c>
      <c r="F18" s="150" t="s">
        <v>74</v>
      </c>
      <c r="G18" s="149" t="s">
        <v>75</v>
      </c>
      <c r="H18" s="151" t="s">
        <v>66</v>
      </c>
      <c r="I18" s="83"/>
    </row>
    <row r="19" spans="1:9" s="9" customFormat="1" ht="24.95" customHeight="1">
      <c r="A19" s="139">
        <v>78</v>
      </c>
      <c r="B19" s="146" t="s">
        <v>76</v>
      </c>
      <c r="C19" s="147" t="s">
        <v>71</v>
      </c>
      <c r="D19" s="148" t="s">
        <v>72</v>
      </c>
      <c r="E19" s="149" t="s">
        <v>77</v>
      </c>
      <c r="F19" s="150" t="s">
        <v>74</v>
      </c>
      <c r="G19" s="149" t="s">
        <v>75</v>
      </c>
      <c r="H19" s="151" t="s">
        <v>66</v>
      </c>
      <c r="I19" s="83"/>
    </row>
    <row r="20" spans="1:9" s="9" customFormat="1" ht="24.95" customHeight="1">
      <c r="A20" s="139">
        <v>77</v>
      </c>
      <c r="B20" s="146" t="s">
        <v>78</v>
      </c>
      <c r="C20" s="147" t="s">
        <v>71</v>
      </c>
      <c r="D20" s="148" t="s">
        <v>72</v>
      </c>
      <c r="E20" s="149" t="s">
        <v>79</v>
      </c>
      <c r="F20" s="150" t="s">
        <v>80</v>
      </c>
      <c r="G20" s="149" t="s">
        <v>81</v>
      </c>
      <c r="H20" s="151" t="s">
        <v>66</v>
      </c>
      <c r="I20" s="83"/>
    </row>
    <row r="21" spans="1:9" s="9" customFormat="1" ht="24.95" customHeight="1">
      <c r="A21" s="139">
        <v>88</v>
      </c>
      <c r="B21" s="146" t="s">
        <v>82</v>
      </c>
      <c r="C21" s="147" t="s">
        <v>83</v>
      </c>
      <c r="D21" s="148" t="s">
        <v>84</v>
      </c>
      <c r="E21" s="149" t="s">
        <v>85</v>
      </c>
      <c r="F21" s="150"/>
      <c r="G21" s="149" t="s">
        <v>86</v>
      </c>
      <c r="H21" s="151" t="s">
        <v>87</v>
      </c>
      <c r="I21" s="83"/>
    </row>
    <row r="22" spans="1:9" s="9" customFormat="1" ht="24.95" customHeight="1">
      <c r="A22" s="139">
        <v>81</v>
      </c>
      <c r="B22" s="146" t="s">
        <v>88</v>
      </c>
      <c r="C22" s="147" t="s">
        <v>89</v>
      </c>
      <c r="D22" s="148" t="s">
        <v>90</v>
      </c>
      <c r="E22" s="149" t="s">
        <v>91</v>
      </c>
      <c r="F22" s="150"/>
      <c r="G22" s="149" t="s">
        <v>92</v>
      </c>
      <c r="H22" s="151"/>
      <c r="I22" s="83"/>
    </row>
    <row r="23" spans="1:9" s="9" customFormat="1" ht="24.95" customHeight="1">
      <c r="A23" s="139">
        <v>17</v>
      </c>
      <c r="B23" s="146" t="s">
        <v>93</v>
      </c>
      <c r="C23" s="147" t="s">
        <v>71</v>
      </c>
      <c r="D23" s="148" t="s">
        <v>94</v>
      </c>
      <c r="E23" s="149" t="s">
        <v>95</v>
      </c>
      <c r="F23" s="150">
        <v>2.8</v>
      </c>
      <c r="G23" s="149" t="s">
        <v>96</v>
      </c>
      <c r="H23" s="151" t="s">
        <v>97</v>
      </c>
      <c r="I23" s="83"/>
    </row>
    <row r="24" spans="1:9" s="9" customFormat="1" ht="24.95" customHeight="1">
      <c r="A24" s="139">
        <v>82</v>
      </c>
      <c r="B24" s="146" t="s">
        <v>98</v>
      </c>
      <c r="C24" s="147" t="s">
        <v>99</v>
      </c>
      <c r="D24" s="148" t="s">
        <v>100</v>
      </c>
      <c r="E24" s="149">
        <v>2010.21</v>
      </c>
      <c r="F24" s="150"/>
      <c r="G24" s="149" t="s">
        <v>101</v>
      </c>
      <c r="H24" s="151"/>
      <c r="I24" s="83"/>
    </row>
    <row r="25" spans="1:9" s="9" customFormat="1" ht="24.95" customHeight="1">
      <c r="A25" s="139">
        <v>80</v>
      </c>
      <c r="B25" s="146" t="s">
        <v>102</v>
      </c>
      <c r="C25" s="147" t="s">
        <v>99</v>
      </c>
      <c r="D25" s="148" t="s">
        <v>103</v>
      </c>
      <c r="E25" s="149">
        <v>3112</v>
      </c>
      <c r="F25" s="150"/>
      <c r="G25" s="149" t="s">
        <v>104</v>
      </c>
      <c r="H25" s="151"/>
      <c r="I25" s="83"/>
    </row>
    <row r="26" spans="1:9" s="9" customFormat="1" ht="24.95" customHeight="1">
      <c r="A26" s="139">
        <v>84</v>
      </c>
      <c r="B26" s="146" t="s">
        <v>105</v>
      </c>
      <c r="C26" s="147" t="s">
        <v>99</v>
      </c>
      <c r="D26" s="148" t="s">
        <v>106</v>
      </c>
      <c r="E26" s="149">
        <v>4021</v>
      </c>
      <c r="F26" s="150"/>
      <c r="G26" s="149" t="s">
        <v>107</v>
      </c>
      <c r="H26" s="151"/>
      <c r="I26" s="83"/>
    </row>
    <row r="27" spans="1:9" s="9" customFormat="1" ht="24.95" customHeight="1">
      <c r="A27" s="139">
        <v>83</v>
      </c>
      <c r="B27" s="146" t="s">
        <v>108</v>
      </c>
      <c r="C27" s="147" t="s">
        <v>99</v>
      </c>
      <c r="D27" s="148" t="s">
        <v>109</v>
      </c>
      <c r="E27" s="149">
        <v>4121</v>
      </c>
      <c r="F27" s="150"/>
      <c r="G27" s="149" t="s">
        <v>110</v>
      </c>
      <c r="H27" s="151"/>
      <c r="I27" s="83"/>
    </row>
    <row r="28" spans="1:9" s="9" customFormat="1" ht="24.95" customHeight="1">
      <c r="A28" s="139">
        <v>79</v>
      </c>
      <c r="B28" s="146" t="s">
        <v>111</v>
      </c>
      <c r="C28" s="147" t="s">
        <v>99</v>
      </c>
      <c r="D28" s="148" t="s">
        <v>28</v>
      </c>
      <c r="E28" s="149">
        <v>6020</v>
      </c>
      <c r="F28" s="150"/>
      <c r="G28" s="149" t="s">
        <v>112</v>
      </c>
      <c r="H28" s="151"/>
      <c r="I28" s="83"/>
    </row>
    <row r="29" spans="1:9" s="9" customFormat="1" ht="24.95" customHeight="1">
      <c r="A29" s="139">
        <v>30</v>
      </c>
      <c r="B29" s="146" t="s">
        <v>113</v>
      </c>
      <c r="C29" s="147" t="s">
        <v>114</v>
      </c>
      <c r="D29" s="148" t="s">
        <v>115</v>
      </c>
      <c r="E29" s="149"/>
      <c r="F29" s="150">
        <v>1</v>
      </c>
      <c r="G29" s="149" t="s">
        <v>116</v>
      </c>
      <c r="H29" s="151"/>
      <c r="I29" s="83"/>
    </row>
    <row r="30" spans="1:9" s="9" customFormat="1" ht="24.95" customHeight="1">
      <c r="A30" s="139">
        <v>75</v>
      </c>
      <c r="B30" s="146" t="s">
        <v>117</v>
      </c>
      <c r="C30" s="147" t="s">
        <v>114</v>
      </c>
      <c r="D30" s="148" t="s">
        <v>118</v>
      </c>
      <c r="E30" s="149"/>
      <c r="F30" s="150" t="s">
        <v>119</v>
      </c>
      <c r="G30" s="149" t="s">
        <v>116</v>
      </c>
      <c r="H30" s="151"/>
      <c r="I30" s="83"/>
    </row>
    <row r="31" spans="1:9" s="9" customFormat="1" ht="24.95" customHeight="1">
      <c r="A31" s="139">
        <v>33</v>
      </c>
      <c r="B31" s="146" t="s">
        <v>120</v>
      </c>
      <c r="C31" s="147" t="s">
        <v>114</v>
      </c>
      <c r="D31" s="148" t="s">
        <v>121</v>
      </c>
      <c r="E31" s="149"/>
      <c r="F31" s="150">
        <v>1</v>
      </c>
      <c r="G31" s="149" t="s">
        <v>122</v>
      </c>
      <c r="H31" s="151"/>
      <c r="I31" s="83"/>
    </row>
    <row r="32" spans="1:9" s="9" customFormat="1" ht="24.95" customHeight="1">
      <c r="A32" s="139">
        <v>76</v>
      </c>
      <c r="B32" s="146" t="s">
        <v>123</v>
      </c>
      <c r="C32" s="147" t="s">
        <v>114</v>
      </c>
      <c r="D32" s="148" t="s">
        <v>121</v>
      </c>
      <c r="E32" s="149"/>
      <c r="F32" s="150">
        <v>2</v>
      </c>
      <c r="G32" s="149" t="s">
        <v>122</v>
      </c>
      <c r="H32" s="151"/>
      <c r="I32" s="83"/>
    </row>
    <row r="33" spans="1:9" s="9" customFormat="1" ht="24.95" customHeight="1">
      <c r="A33" s="139">
        <v>60</v>
      </c>
      <c r="B33" s="146" t="s">
        <v>124</v>
      </c>
      <c r="C33" s="147" t="s">
        <v>125</v>
      </c>
      <c r="D33" s="148" t="s">
        <v>126</v>
      </c>
      <c r="E33" s="149"/>
      <c r="F33" s="150" t="s">
        <v>127</v>
      </c>
      <c r="G33" s="149" t="s">
        <v>128</v>
      </c>
      <c r="H33" s="151" t="s">
        <v>129</v>
      </c>
      <c r="I33" s="83"/>
    </row>
    <row r="34" spans="1:9" s="9" customFormat="1" ht="24.95" customHeight="1">
      <c r="A34" s="139">
        <v>39</v>
      </c>
      <c r="B34" s="146" t="s">
        <v>130</v>
      </c>
      <c r="C34" s="147" t="s">
        <v>7</v>
      </c>
      <c r="D34" s="148" t="s">
        <v>131</v>
      </c>
      <c r="E34" s="149" t="s">
        <v>132</v>
      </c>
      <c r="F34" s="150"/>
      <c r="G34" s="149" t="s">
        <v>133</v>
      </c>
      <c r="H34" s="151" t="s">
        <v>134</v>
      </c>
      <c r="I34" s="83"/>
    </row>
    <row r="35" spans="1:9" s="9" customFormat="1" ht="24.95" customHeight="1">
      <c r="A35" s="139">
        <v>56</v>
      </c>
      <c r="B35" s="146" t="s">
        <v>135</v>
      </c>
      <c r="C35" s="147" t="s">
        <v>136</v>
      </c>
      <c r="D35" s="148" t="s">
        <v>137</v>
      </c>
      <c r="E35" s="149" t="s">
        <v>138</v>
      </c>
      <c r="F35" s="150"/>
      <c r="G35" s="149" t="s">
        <v>139</v>
      </c>
      <c r="H35" s="151" t="s">
        <v>140</v>
      </c>
      <c r="I35" s="83"/>
    </row>
    <row r="36" spans="1:9" s="9" customFormat="1" ht="24.95" customHeight="1">
      <c r="A36" s="139">
        <v>68</v>
      </c>
      <c r="B36" s="146" t="s">
        <v>141</v>
      </c>
      <c r="C36" s="147" t="s">
        <v>136</v>
      </c>
      <c r="D36" s="148" t="s">
        <v>142</v>
      </c>
      <c r="E36" s="149" t="s">
        <v>143</v>
      </c>
      <c r="F36" s="150"/>
      <c r="G36" s="149" t="s">
        <v>144</v>
      </c>
      <c r="H36" s="151" t="s">
        <v>140</v>
      </c>
      <c r="I36" s="83"/>
    </row>
    <row r="37" spans="1:9" s="9" customFormat="1" ht="24.95" customHeight="1">
      <c r="A37" s="139">
        <v>20</v>
      </c>
      <c r="B37" s="146" t="s">
        <v>145</v>
      </c>
      <c r="C37" s="147" t="s">
        <v>146</v>
      </c>
      <c r="D37" s="148" t="s">
        <v>147</v>
      </c>
      <c r="E37" s="149" t="s">
        <v>148</v>
      </c>
      <c r="F37" s="150"/>
      <c r="G37" s="149" t="s">
        <v>149</v>
      </c>
      <c r="H37" s="151" t="s">
        <v>150</v>
      </c>
      <c r="I37" s="83"/>
    </row>
    <row r="38" spans="1:9" s="9" customFormat="1" ht="24.95" customHeight="1">
      <c r="A38" s="139">
        <v>58</v>
      </c>
      <c r="B38" s="146" t="s">
        <v>151</v>
      </c>
      <c r="C38" s="147" t="s">
        <v>15</v>
      </c>
      <c r="D38" s="148" t="s">
        <v>152</v>
      </c>
      <c r="E38" s="149" t="s">
        <v>153</v>
      </c>
      <c r="F38" s="150"/>
      <c r="G38" s="149" t="s">
        <v>154</v>
      </c>
      <c r="H38" s="151" t="s">
        <v>18</v>
      </c>
      <c r="I38" s="83"/>
    </row>
    <row r="39" spans="1:9" s="9" customFormat="1" ht="24.95" customHeight="1">
      <c r="A39" s="139">
        <v>101</v>
      </c>
      <c r="B39" s="146" t="s">
        <v>155</v>
      </c>
      <c r="C39" s="147" t="s">
        <v>156</v>
      </c>
      <c r="D39" s="148" t="s">
        <v>157</v>
      </c>
      <c r="E39" s="149" t="s">
        <v>158</v>
      </c>
      <c r="F39" s="150"/>
      <c r="G39" s="149"/>
      <c r="H39" s="151"/>
      <c r="I39" s="83"/>
    </row>
    <row r="40" spans="1:9" s="9" customFormat="1" ht="24.95" customHeight="1">
      <c r="A40" s="139">
        <v>71</v>
      </c>
      <c r="B40" s="146" t="s">
        <v>159</v>
      </c>
      <c r="C40" s="147" t="s">
        <v>160</v>
      </c>
      <c r="D40" s="148" t="s">
        <v>161</v>
      </c>
      <c r="E40" s="149" t="s">
        <v>162</v>
      </c>
      <c r="F40" s="150"/>
      <c r="G40" s="149" t="s">
        <v>163</v>
      </c>
      <c r="H40" s="151"/>
      <c r="I40" s="83"/>
    </row>
    <row r="41" spans="1:9" s="9" customFormat="1" ht="24.95" customHeight="1">
      <c r="A41" s="139">
        <v>38</v>
      </c>
      <c r="B41" s="146" t="s">
        <v>164</v>
      </c>
      <c r="C41" s="147" t="s">
        <v>160</v>
      </c>
      <c r="D41" s="148" t="s">
        <v>165</v>
      </c>
      <c r="E41" s="149" t="s">
        <v>166</v>
      </c>
      <c r="F41" s="150"/>
      <c r="G41" s="149" t="s">
        <v>167</v>
      </c>
      <c r="H41" s="151"/>
      <c r="I41" s="83"/>
    </row>
    <row r="42" spans="1:9" s="9" customFormat="1" ht="24.95" customHeight="1">
      <c r="A42" s="139">
        <v>14</v>
      </c>
      <c r="B42" s="146" t="s">
        <v>168</v>
      </c>
      <c r="C42" s="147" t="s">
        <v>169</v>
      </c>
      <c r="D42" s="148" t="s">
        <v>170</v>
      </c>
      <c r="E42" s="149" t="s">
        <v>171</v>
      </c>
      <c r="F42" s="150"/>
      <c r="G42" s="149" t="s">
        <v>172</v>
      </c>
      <c r="H42" s="151" t="s">
        <v>173</v>
      </c>
      <c r="I42" s="83"/>
    </row>
    <row r="43" spans="1:9" s="9" customFormat="1" ht="24.95" customHeight="1">
      <c r="A43" s="139">
        <v>73</v>
      </c>
      <c r="B43" s="146" t="s">
        <v>174</v>
      </c>
      <c r="C43" s="147" t="s">
        <v>169</v>
      </c>
      <c r="D43" s="148" t="s">
        <v>170</v>
      </c>
      <c r="E43" s="149" t="s">
        <v>175</v>
      </c>
      <c r="F43" s="150"/>
      <c r="G43" s="149" t="s">
        <v>172</v>
      </c>
      <c r="H43" s="151" t="s">
        <v>173</v>
      </c>
      <c r="I43" s="83"/>
    </row>
    <row r="44" spans="1:9" s="9" customFormat="1" ht="24.95" customHeight="1">
      <c r="A44" s="139">
        <v>99</v>
      </c>
      <c r="B44" s="146" t="s">
        <v>176</v>
      </c>
      <c r="C44" s="147" t="s">
        <v>177</v>
      </c>
      <c r="D44" s="148" t="s">
        <v>178</v>
      </c>
      <c r="E44" s="149"/>
      <c r="F44" s="150"/>
      <c r="G44" s="149"/>
      <c r="H44" s="151"/>
      <c r="I44" s="83"/>
    </row>
    <row r="45" spans="1:9" s="9" customFormat="1" ht="24.95" customHeight="1">
      <c r="A45" s="139">
        <v>64</v>
      </c>
      <c r="B45" s="146" t="s">
        <v>179</v>
      </c>
      <c r="C45" s="147" t="s">
        <v>27</v>
      </c>
      <c r="D45" s="148" t="s">
        <v>180</v>
      </c>
      <c r="E45" s="149" t="s">
        <v>181</v>
      </c>
      <c r="F45" s="150"/>
      <c r="G45" s="149"/>
      <c r="H45" s="151" t="s">
        <v>182</v>
      </c>
      <c r="I45" s="83"/>
    </row>
    <row r="46" spans="1:9" s="9" customFormat="1" ht="24.95" customHeight="1">
      <c r="A46" s="139">
        <v>74</v>
      </c>
      <c r="B46" s="146" t="s">
        <v>183</v>
      </c>
      <c r="C46" s="147" t="s">
        <v>184</v>
      </c>
      <c r="D46" s="148" t="s">
        <v>183</v>
      </c>
      <c r="E46" s="149" t="s">
        <v>184</v>
      </c>
      <c r="F46" s="150" t="s">
        <v>184</v>
      </c>
      <c r="G46" s="149"/>
      <c r="H46" s="151"/>
      <c r="I46" s="83"/>
    </row>
    <row r="47" spans="1:9" s="9" customFormat="1" ht="24.95" customHeight="1">
      <c r="A47" s="139">
        <v>21</v>
      </c>
      <c r="B47" s="146" t="s">
        <v>185</v>
      </c>
      <c r="C47" s="147"/>
      <c r="D47" s="148"/>
      <c r="E47" s="149"/>
      <c r="F47" s="150"/>
      <c r="G47" s="149"/>
      <c r="H47" s="151"/>
      <c r="I47" s="83"/>
    </row>
    <row r="48" spans="1:9" s="9" customFormat="1" ht="24.95" customHeight="1">
      <c r="A48" s="139">
        <v>115</v>
      </c>
      <c r="B48" s="146" t="s">
        <v>186</v>
      </c>
      <c r="C48" s="147" t="s">
        <v>187</v>
      </c>
      <c r="D48" s="148" t="s">
        <v>183</v>
      </c>
      <c r="E48" s="149" t="s">
        <v>188</v>
      </c>
      <c r="F48" s="150"/>
      <c r="G48" s="149" t="s">
        <v>189</v>
      </c>
      <c r="H48" s="151"/>
      <c r="I48" s="83"/>
    </row>
    <row r="49" spans="1:9" s="9" customFormat="1" ht="24.95" customHeight="1">
      <c r="A49" s="134">
        <v>115</v>
      </c>
      <c r="B49" s="136" t="s">
        <v>1093</v>
      </c>
      <c r="C49" s="85" t="s">
        <v>1089</v>
      </c>
      <c r="D49" s="57" t="s">
        <v>183</v>
      </c>
      <c r="E49" s="58" t="s">
        <v>1090</v>
      </c>
      <c r="F49" s="59"/>
      <c r="G49" s="58" t="s">
        <v>1092</v>
      </c>
      <c r="H49" s="84" t="s">
        <v>1091</v>
      </c>
      <c r="I49" s="83"/>
    </row>
    <row r="50" spans="1:9" s="9" customFormat="1" ht="24.95" customHeight="1">
      <c r="A50" s="139">
        <v>98</v>
      </c>
      <c r="B50" s="146" t="s">
        <v>194</v>
      </c>
      <c r="C50" s="147" t="s">
        <v>184</v>
      </c>
      <c r="D50" s="148" t="s">
        <v>195</v>
      </c>
      <c r="E50" s="149" t="s">
        <v>196</v>
      </c>
      <c r="F50" s="150"/>
      <c r="G50" s="149"/>
      <c r="H50" s="151"/>
      <c r="I50" s="83"/>
    </row>
    <row r="51" spans="1:9" s="9" customFormat="1" ht="24.95" customHeight="1">
      <c r="A51" s="139">
        <v>52</v>
      </c>
      <c r="B51" s="146" t="s">
        <v>190</v>
      </c>
      <c r="C51" s="147" t="s">
        <v>15</v>
      </c>
      <c r="D51" s="148" t="s">
        <v>191</v>
      </c>
      <c r="E51" s="149" t="s">
        <v>192</v>
      </c>
      <c r="F51" s="150"/>
      <c r="G51" s="149" t="s">
        <v>193</v>
      </c>
      <c r="H51" s="151" t="s">
        <v>129</v>
      </c>
      <c r="I51" s="83"/>
    </row>
    <row r="52" spans="1:9" s="9" customFormat="1" ht="24.95" customHeight="1">
      <c r="A52" s="139">
        <v>100</v>
      </c>
      <c r="B52" s="146" t="s">
        <v>197</v>
      </c>
      <c r="C52" s="147" t="s">
        <v>177</v>
      </c>
      <c r="D52" s="148" t="s">
        <v>198</v>
      </c>
      <c r="E52" s="149"/>
      <c r="F52" s="150"/>
      <c r="G52" s="149"/>
      <c r="H52" s="151"/>
      <c r="I52" s="83"/>
    </row>
    <row r="53" spans="1:9" s="9" customFormat="1" ht="24.95" customHeight="1">
      <c r="A53" s="139">
        <v>63</v>
      </c>
      <c r="B53" s="146" t="s">
        <v>199</v>
      </c>
      <c r="C53" s="147" t="s">
        <v>200</v>
      </c>
      <c r="D53" s="148" t="s">
        <v>201</v>
      </c>
      <c r="E53" s="149">
        <v>52202</v>
      </c>
      <c r="F53" s="150" t="s">
        <v>202</v>
      </c>
      <c r="G53" s="149" t="s">
        <v>203</v>
      </c>
      <c r="H53" s="151" t="s">
        <v>204</v>
      </c>
      <c r="I53" s="83"/>
    </row>
    <row r="54" spans="1:9" s="9" customFormat="1" ht="24.95" customHeight="1">
      <c r="A54" s="134">
        <v>116</v>
      </c>
      <c r="B54" s="136" t="s">
        <v>1072</v>
      </c>
      <c r="C54" s="85" t="s">
        <v>1065</v>
      </c>
      <c r="D54" s="57" t="s">
        <v>1066</v>
      </c>
      <c r="E54" s="58" t="s">
        <v>1068</v>
      </c>
      <c r="F54" s="59"/>
      <c r="G54" s="137" t="s">
        <v>1067</v>
      </c>
      <c r="H54" s="84" t="s">
        <v>1069</v>
      </c>
      <c r="I54" s="83"/>
    </row>
    <row r="55" spans="1:9" s="9" customFormat="1" ht="24.95" customHeight="1">
      <c r="A55" s="134">
        <v>117</v>
      </c>
      <c r="B55" s="136" t="s">
        <v>1071</v>
      </c>
      <c r="C55" s="85" t="s">
        <v>1065</v>
      </c>
      <c r="D55" s="57" t="s">
        <v>1066</v>
      </c>
      <c r="E55" s="58" t="s">
        <v>1068</v>
      </c>
      <c r="F55" s="59"/>
      <c r="G55" s="58" t="s">
        <v>1067</v>
      </c>
      <c r="H55" s="84" t="s">
        <v>1069</v>
      </c>
      <c r="I55" s="83"/>
    </row>
    <row r="56" spans="1:9" s="9" customFormat="1" ht="24.95" customHeight="1">
      <c r="A56" s="134">
        <v>118</v>
      </c>
      <c r="B56" s="136" t="s">
        <v>1077</v>
      </c>
      <c r="C56" s="85" t="s">
        <v>1073</v>
      </c>
      <c r="D56" s="57" t="s">
        <v>1074</v>
      </c>
      <c r="E56" s="58">
        <v>8101</v>
      </c>
      <c r="F56" s="59"/>
      <c r="G56" s="58" t="s">
        <v>1075</v>
      </c>
      <c r="H56" s="84" t="s">
        <v>1076</v>
      </c>
      <c r="I56" s="83"/>
    </row>
    <row r="57" spans="1:9" s="9" customFormat="1" ht="24.95" customHeight="1">
      <c r="A57" s="139">
        <v>85</v>
      </c>
      <c r="B57" s="146" t="s">
        <v>205</v>
      </c>
      <c r="C57" s="147" t="s">
        <v>206</v>
      </c>
      <c r="D57" s="148" t="s">
        <v>207</v>
      </c>
      <c r="E57" s="149">
        <v>1811</v>
      </c>
      <c r="F57" s="150"/>
      <c r="G57" s="149" t="s">
        <v>208</v>
      </c>
      <c r="H57" s="151" t="s">
        <v>209</v>
      </c>
      <c r="I57" s="83"/>
    </row>
    <row r="58" spans="1:9" s="9" customFormat="1" ht="24.95" customHeight="1">
      <c r="A58" s="134">
        <v>119</v>
      </c>
      <c r="B58" s="61" t="s">
        <v>205</v>
      </c>
      <c r="C58" s="85" t="s">
        <v>206</v>
      </c>
      <c r="D58" s="57" t="s">
        <v>207</v>
      </c>
      <c r="E58" s="58">
        <v>1811</v>
      </c>
      <c r="F58" s="59"/>
      <c r="G58" s="58" t="s">
        <v>208</v>
      </c>
      <c r="H58" s="84" t="s">
        <v>209</v>
      </c>
      <c r="I58" s="83"/>
    </row>
    <row r="59" spans="1:9" s="9" customFormat="1" ht="24.95" customHeight="1">
      <c r="A59" s="139">
        <v>97</v>
      </c>
      <c r="B59" s="146" t="s">
        <v>210</v>
      </c>
      <c r="C59" s="147" t="s">
        <v>211</v>
      </c>
      <c r="D59" s="148" t="s">
        <v>212</v>
      </c>
      <c r="E59" s="149" t="s">
        <v>213</v>
      </c>
      <c r="F59" s="150"/>
      <c r="G59" s="149" t="s">
        <v>214</v>
      </c>
      <c r="H59" s="151" t="s">
        <v>215</v>
      </c>
      <c r="I59" s="83"/>
    </row>
    <row r="60" spans="1:9" s="9" customFormat="1" ht="24.95" customHeight="1">
      <c r="A60" s="139">
        <v>50</v>
      </c>
      <c r="B60" s="146" t="s">
        <v>216</v>
      </c>
      <c r="C60" s="147" t="s">
        <v>217</v>
      </c>
      <c r="D60" s="148" t="s">
        <v>218</v>
      </c>
      <c r="E60" s="149" t="s">
        <v>219</v>
      </c>
      <c r="F60" s="150">
        <v>3.04</v>
      </c>
      <c r="G60" s="149" t="s">
        <v>220</v>
      </c>
      <c r="H60" s="151" t="s">
        <v>221</v>
      </c>
      <c r="I60" s="83"/>
    </row>
    <row r="61" spans="1:9" s="9" customFormat="1" ht="24.95" customHeight="1">
      <c r="A61" s="139">
        <v>65</v>
      </c>
      <c r="B61" s="146" t="s">
        <v>222</v>
      </c>
      <c r="C61" s="147" t="s">
        <v>27</v>
      </c>
      <c r="D61" s="148" t="s">
        <v>223</v>
      </c>
      <c r="E61" s="149" t="s">
        <v>224</v>
      </c>
      <c r="F61" s="150"/>
      <c r="G61" s="149" t="s">
        <v>225</v>
      </c>
      <c r="H61" s="151" t="s">
        <v>226</v>
      </c>
      <c r="I61" s="83"/>
    </row>
    <row r="62" spans="1:9" s="9" customFormat="1" ht="24.95" customHeight="1">
      <c r="A62" s="139">
        <v>57</v>
      </c>
      <c r="B62" s="146" t="s">
        <v>227</v>
      </c>
      <c r="C62" s="147" t="s">
        <v>15</v>
      </c>
      <c r="D62" s="148" t="s">
        <v>228</v>
      </c>
      <c r="E62" s="149" t="s">
        <v>229</v>
      </c>
      <c r="F62" s="150"/>
      <c r="G62" s="149" t="s">
        <v>230</v>
      </c>
      <c r="H62" s="151" t="s">
        <v>231</v>
      </c>
      <c r="I62" s="83"/>
    </row>
    <row r="63" spans="1:9" s="9" customFormat="1" ht="24.95" customHeight="1">
      <c r="A63" s="139">
        <v>28</v>
      </c>
      <c r="B63" s="146" t="s">
        <v>232</v>
      </c>
      <c r="C63" s="147" t="s">
        <v>233</v>
      </c>
      <c r="D63" s="148" t="s">
        <v>234</v>
      </c>
      <c r="E63" s="149" t="s">
        <v>235</v>
      </c>
      <c r="F63" s="150">
        <v>1</v>
      </c>
      <c r="G63" s="149" t="s">
        <v>236</v>
      </c>
      <c r="H63" s="151" t="s">
        <v>237</v>
      </c>
      <c r="I63" s="83"/>
    </row>
    <row r="64" spans="1:9" s="9" customFormat="1" ht="24.95" customHeight="1">
      <c r="A64" s="139">
        <v>13</v>
      </c>
      <c r="B64" s="146" t="s">
        <v>238</v>
      </c>
      <c r="C64" s="147" t="s">
        <v>239</v>
      </c>
      <c r="D64" s="148" t="s">
        <v>240</v>
      </c>
      <c r="E64" s="149" t="s">
        <v>241</v>
      </c>
      <c r="F64" s="150"/>
      <c r="G64" s="149" t="s">
        <v>242</v>
      </c>
      <c r="H64" s="151" t="s">
        <v>243</v>
      </c>
      <c r="I64" s="83"/>
    </row>
    <row r="65" spans="1:9" s="9" customFormat="1" ht="24.95" customHeight="1">
      <c r="A65" s="139">
        <v>62</v>
      </c>
      <c r="B65" s="146" t="s">
        <v>244</v>
      </c>
      <c r="C65" s="147" t="s">
        <v>15</v>
      </c>
      <c r="D65" s="148"/>
      <c r="E65" s="149" t="s">
        <v>245</v>
      </c>
      <c r="F65" s="150"/>
      <c r="G65" s="149" t="s">
        <v>246</v>
      </c>
      <c r="H65" s="151" t="s">
        <v>247</v>
      </c>
      <c r="I65" s="83"/>
    </row>
    <row r="66" spans="1:9" s="9" customFormat="1" ht="24.95" customHeight="1">
      <c r="A66" s="139">
        <v>70</v>
      </c>
      <c r="B66" s="146" t="s">
        <v>248</v>
      </c>
      <c r="C66" s="147" t="s">
        <v>249</v>
      </c>
      <c r="D66" s="148" t="s">
        <v>250</v>
      </c>
      <c r="E66" s="149" t="s">
        <v>251</v>
      </c>
      <c r="F66" s="150" t="s">
        <v>252</v>
      </c>
      <c r="G66" s="149" t="s">
        <v>253</v>
      </c>
      <c r="H66" s="151" t="s">
        <v>254</v>
      </c>
      <c r="I66" s="83"/>
    </row>
    <row r="67" spans="1:9" s="9" customFormat="1" ht="24.95" customHeight="1">
      <c r="A67" s="139">
        <v>86</v>
      </c>
      <c r="B67" s="146" t="s">
        <v>255</v>
      </c>
      <c r="C67" s="147" t="s">
        <v>256</v>
      </c>
      <c r="D67" s="148" t="s">
        <v>257</v>
      </c>
      <c r="E67" s="149" t="s">
        <v>258</v>
      </c>
      <c r="F67" s="150"/>
      <c r="G67" s="149" t="s">
        <v>259</v>
      </c>
      <c r="H67" s="151" t="s">
        <v>260</v>
      </c>
      <c r="I67" s="83"/>
    </row>
    <row r="68" spans="1:9" s="9" customFormat="1" ht="24.95" customHeight="1">
      <c r="A68" s="139">
        <v>105</v>
      </c>
      <c r="B68" s="146" t="s">
        <v>261</v>
      </c>
      <c r="C68" s="147" t="s">
        <v>262</v>
      </c>
      <c r="D68" s="148" t="s">
        <v>263</v>
      </c>
      <c r="E68" s="149" t="s">
        <v>264</v>
      </c>
      <c r="F68" s="150"/>
      <c r="G68" s="149"/>
      <c r="H68" s="151"/>
      <c r="I68" s="83"/>
    </row>
    <row r="69" spans="1:9" s="9" customFormat="1" ht="24.95" customHeight="1">
      <c r="A69" s="139">
        <v>107</v>
      </c>
      <c r="B69" s="146" t="s">
        <v>265</v>
      </c>
      <c r="C69" s="147" t="s">
        <v>262</v>
      </c>
      <c r="D69" s="148"/>
      <c r="E69" s="149"/>
      <c r="F69" s="150"/>
      <c r="G69" s="149"/>
      <c r="H69" s="151"/>
      <c r="I69" s="83"/>
    </row>
    <row r="70" spans="1:9" s="9" customFormat="1" ht="24.95" customHeight="1">
      <c r="A70" s="139">
        <v>109</v>
      </c>
      <c r="B70" s="146" t="s">
        <v>266</v>
      </c>
      <c r="C70" s="147" t="s">
        <v>262</v>
      </c>
      <c r="D70" s="148" t="s">
        <v>267</v>
      </c>
      <c r="E70" s="149" t="s">
        <v>268</v>
      </c>
      <c r="F70" s="150"/>
      <c r="G70" s="149"/>
      <c r="H70" s="151"/>
      <c r="I70" s="83"/>
    </row>
    <row r="71" spans="1:9" s="9" customFormat="1" ht="24.95" customHeight="1">
      <c r="A71" s="139">
        <v>110</v>
      </c>
      <c r="B71" s="146" t="s">
        <v>269</v>
      </c>
      <c r="C71" s="147" t="s">
        <v>262</v>
      </c>
      <c r="D71" s="148"/>
      <c r="E71" s="149"/>
      <c r="F71" s="150"/>
      <c r="G71" s="149"/>
      <c r="H71" s="151"/>
      <c r="I71" s="83"/>
    </row>
    <row r="72" spans="1:9" s="9" customFormat="1" ht="24.95" customHeight="1">
      <c r="A72" s="139">
        <v>111</v>
      </c>
      <c r="B72" s="146" t="s">
        <v>270</v>
      </c>
      <c r="C72" s="147" t="s">
        <v>262</v>
      </c>
      <c r="D72" s="148"/>
      <c r="E72" s="149"/>
      <c r="F72" s="150"/>
      <c r="G72" s="149"/>
      <c r="H72" s="151"/>
      <c r="I72" s="83"/>
    </row>
    <row r="73" spans="1:9" s="9" customFormat="1" ht="24.95" customHeight="1">
      <c r="A73" s="139">
        <v>103</v>
      </c>
      <c r="B73" s="146" t="s">
        <v>271</v>
      </c>
      <c r="C73" s="147" t="s">
        <v>262</v>
      </c>
      <c r="D73" s="148" t="s">
        <v>272</v>
      </c>
      <c r="E73" s="149" t="s">
        <v>273</v>
      </c>
      <c r="F73" s="150"/>
      <c r="G73" s="149"/>
      <c r="H73" s="151"/>
      <c r="I73" s="83"/>
    </row>
    <row r="74" spans="1:9" s="9" customFormat="1" ht="24.95" customHeight="1">
      <c r="A74" s="139">
        <v>104</v>
      </c>
      <c r="B74" s="146" t="s">
        <v>274</v>
      </c>
      <c r="C74" s="147" t="s">
        <v>262</v>
      </c>
      <c r="D74" s="148" t="s">
        <v>275</v>
      </c>
      <c r="E74" s="149" t="s">
        <v>147</v>
      </c>
      <c r="F74" s="150"/>
      <c r="G74" s="149"/>
      <c r="H74" s="151"/>
      <c r="I74" s="83"/>
    </row>
    <row r="75" spans="1:9" s="9" customFormat="1" ht="24.95" customHeight="1">
      <c r="A75" s="139">
        <v>102</v>
      </c>
      <c r="B75" s="146" t="s">
        <v>276</v>
      </c>
      <c r="C75" s="147" t="s">
        <v>262</v>
      </c>
      <c r="D75" s="148" t="s">
        <v>277</v>
      </c>
      <c r="E75" s="149" t="s">
        <v>278</v>
      </c>
      <c r="F75" s="150"/>
      <c r="G75" s="149"/>
      <c r="H75" s="151"/>
      <c r="I75" s="83"/>
    </row>
    <row r="76" spans="1:9" s="9" customFormat="1" ht="24.95" customHeight="1">
      <c r="A76" s="139">
        <v>108</v>
      </c>
      <c r="B76" s="146" t="s">
        <v>279</v>
      </c>
      <c r="C76" s="147" t="s">
        <v>262</v>
      </c>
      <c r="D76" s="148"/>
      <c r="E76" s="149"/>
      <c r="F76" s="150"/>
      <c r="G76" s="149"/>
      <c r="H76" s="151"/>
      <c r="I76" s="83"/>
    </row>
    <row r="77" spans="1:9" s="9" customFormat="1" ht="24.95" customHeight="1">
      <c r="A77" s="139">
        <v>2</v>
      </c>
      <c r="B77" s="146" t="s">
        <v>280</v>
      </c>
      <c r="C77" s="147"/>
      <c r="D77" s="148"/>
      <c r="E77" s="149"/>
      <c r="F77" s="150"/>
      <c r="G77" s="149"/>
      <c r="H77" s="151"/>
      <c r="I77" s="83"/>
    </row>
    <row r="78" spans="1:9" s="9" customFormat="1" ht="24.95" customHeight="1">
      <c r="A78" s="139">
        <v>112</v>
      </c>
      <c r="B78" s="146" t="s">
        <v>281</v>
      </c>
      <c r="C78" s="147" t="s">
        <v>184</v>
      </c>
      <c r="D78" s="148"/>
      <c r="E78" s="149" t="s">
        <v>184</v>
      </c>
      <c r="F78" s="150" t="s">
        <v>184</v>
      </c>
      <c r="G78" s="149"/>
      <c r="H78" s="151"/>
      <c r="I78" s="83"/>
    </row>
    <row r="79" spans="1:9" s="9" customFormat="1" ht="24.95" customHeight="1">
      <c r="A79" s="139">
        <v>7</v>
      </c>
      <c r="B79" s="146" t="s">
        <v>282</v>
      </c>
      <c r="C79" s="147"/>
      <c r="D79" s="148"/>
      <c r="E79" s="149"/>
      <c r="F79" s="150"/>
      <c r="G79" s="149"/>
      <c r="H79" s="151"/>
      <c r="I79" s="83"/>
    </row>
    <row r="80" spans="1:9" s="9" customFormat="1" ht="24.95" customHeight="1">
      <c r="A80" s="139">
        <v>113</v>
      </c>
      <c r="B80" s="146" t="s">
        <v>283</v>
      </c>
      <c r="C80" s="147" t="s">
        <v>184</v>
      </c>
      <c r="D80" s="148"/>
      <c r="E80" s="149" t="s">
        <v>184</v>
      </c>
      <c r="F80" s="150" t="s">
        <v>184</v>
      </c>
      <c r="G80" s="149"/>
      <c r="H80" s="151"/>
      <c r="I80" s="83"/>
    </row>
    <row r="81" spans="1:9" s="9" customFormat="1" ht="24.95" customHeight="1">
      <c r="A81" s="139">
        <v>114</v>
      </c>
      <c r="B81" s="146" t="s">
        <v>284</v>
      </c>
      <c r="C81" s="147" t="s">
        <v>184</v>
      </c>
      <c r="D81" s="148"/>
      <c r="E81" s="149" t="s">
        <v>184</v>
      </c>
      <c r="F81" s="150" t="s">
        <v>184</v>
      </c>
      <c r="G81" s="149"/>
      <c r="H81" s="151"/>
      <c r="I81" s="83"/>
    </row>
    <row r="82" spans="1:9" s="9" customFormat="1" ht="24.95" customHeight="1">
      <c r="A82" s="139">
        <v>67</v>
      </c>
      <c r="B82" s="146" t="s">
        <v>286</v>
      </c>
      <c r="C82" s="147" t="s">
        <v>184</v>
      </c>
      <c r="D82" s="148"/>
      <c r="E82" s="149" t="s">
        <v>184</v>
      </c>
      <c r="F82" s="150" t="s">
        <v>184</v>
      </c>
      <c r="G82" s="149"/>
      <c r="H82" s="151"/>
      <c r="I82" s="83"/>
    </row>
    <row r="83" spans="1:9" s="9" customFormat="1" ht="24.95" customHeight="1">
      <c r="A83" s="139">
        <v>8</v>
      </c>
      <c r="B83" s="146" t="s">
        <v>287</v>
      </c>
      <c r="C83" s="147"/>
      <c r="D83" s="148"/>
      <c r="E83" s="149"/>
      <c r="F83" s="150"/>
      <c r="G83" s="149"/>
      <c r="H83" s="151"/>
      <c r="I83" s="83"/>
    </row>
    <row r="84" spans="1:9" s="9" customFormat="1" ht="24.95" customHeight="1">
      <c r="A84" s="139">
        <v>9</v>
      </c>
      <c r="B84" s="146" t="s">
        <v>288</v>
      </c>
      <c r="C84" s="147"/>
      <c r="D84" s="148"/>
      <c r="E84" s="149"/>
      <c r="F84" s="150"/>
      <c r="G84" s="149"/>
      <c r="H84" s="151"/>
      <c r="I84" s="83"/>
    </row>
    <row r="85" spans="1:9" s="9" customFormat="1" ht="24.95" customHeight="1">
      <c r="A85" s="139">
        <v>4</v>
      </c>
      <c r="B85" s="146" t="s">
        <v>285</v>
      </c>
      <c r="C85" s="147"/>
      <c r="D85" s="148"/>
      <c r="E85" s="149"/>
      <c r="F85" s="150"/>
      <c r="G85" s="149"/>
      <c r="H85" s="151"/>
      <c r="I85" s="83"/>
    </row>
    <row r="86" spans="1:9" s="9" customFormat="1" ht="24.95" customHeight="1">
      <c r="A86" s="134">
        <v>120</v>
      </c>
      <c r="B86" s="136" t="s">
        <v>1084</v>
      </c>
      <c r="C86" s="85" t="s">
        <v>1078</v>
      </c>
      <c r="D86" s="57" t="s">
        <v>1083</v>
      </c>
      <c r="E86" s="58" t="s">
        <v>1079</v>
      </c>
      <c r="F86" s="59"/>
      <c r="G86" s="58" t="s">
        <v>1088</v>
      </c>
      <c r="H86" s="84" t="s">
        <v>1081</v>
      </c>
      <c r="I86" s="83"/>
    </row>
    <row r="87" spans="1:9" s="9" customFormat="1" ht="24.95" customHeight="1">
      <c r="A87" s="134">
        <v>121</v>
      </c>
      <c r="B87" s="136" t="s">
        <v>1086</v>
      </c>
      <c r="C87" s="85" t="s">
        <v>1078</v>
      </c>
      <c r="D87" s="57" t="s">
        <v>1085</v>
      </c>
      <c r="E87" s="58" t="s">
        <v>1080</v>
      </c>
      <c r="F87" s="59"/>
      <c r="G87" s="58" t="s">
        <v>1087</v>
      </c>
      <c r="H87" s="84" t="s">
        <v>1082</v>
      </c>
      <c r="I87" s="83"/>
    </row>
    <row r="88" spans="1:9" s="9" customFormat="1" ht="24.95" customHeight="1">
      <c r="A88" s="139">
        <v>61</v>
      </c>
      <c r="B88" s="146" t="s">
        <v>289</v>
      </c>
      <c r="C88" s="147" t="s">
        <v>184</v>
      </c>
      <c r="D88" s="148" t="s">
        <v>290</v>
      </c>
      <c r="E88" s="149" t="s">
        <v>184</v>
      </c>
      <c r="F88" s="150" t="s">
        <v>184</v>
      </c>
      <c r="G88" s="149" t="s">
        <v>291</v>
      </c>
      <c r="H88" s="151"/>
      <c r="I88" s="83"/>
    </row>
    <row r="89" spans="1:9" s="9" customFormat="1" ht="24.95" customHeight="1">
      <c r="A89" s="139">
        <v>66</v>
      </c>
      <c r="B89" s="152" t="s">
        <v>292</v>
      </c>
      <c r="C89" s="153"/>
      <c r="D89" s="154"/>
      <c r="E89" s="155"/>
      <c r="F89" s="156"/>
      <c r="G89" s="155"/>
      <c r="H89" s="157"/>
      <c r="I89" s="86"/>
    </row>
    <row r="90" spans="1:9" s="9" customFormat="1" ht="24.95" customHeight="1">
      <c r="A90" s="139">
        <v>10</v>
      </c>
      <c r="B90" s="146" t="s">
        <v>293</v>
      </c>
      <c r="C90" s="147" t="s">
        <v>7</v>
      </c>
      <c r="D90" s="148" t="s">
        <v>10</v>
      </c>
      <c r="E90" s="149" t="s">
        <v>8</v>
      </c>
      <c r="F90" s="150" t="s">
        <v>9</v>
      </c>
      <c r="G90" s="149" t="s">
        <v>294</v>
      </c>
      <c r="H90" s="151" t="s">
        <v>295</v>
      </c>
    </row>
    <row r="91" spans="1:9" s="9" customFormat="1" ht="24.95" customHeight="1">
      <c r="A91" s="139">
        <v>93</v>
      </c>
      <c r="B91" s="146" t="s">
        <v>296</v>
      </c>
      <c r="C91" s="147" t="s">
        <v>297</v>
      </c>
      <c r="D91" s="148" t="s">
        <v>298</v>
      </c>
      <c r="E91" s="149" t="s">
        <v>299</v>
      </c>
      <c r="F91" s="150"/>
      <c r="G91" s="149" t="s">
        <v>300</v>
      </c>
      <c r="H91" s="151" t="s">
        <v>301</v>
      </c>
    </row>
    <row r="92" spans="1:9" s="9" customFormat="1" ht="24.95" customHeight="1">
      <c r="A92" s="139">
        <v>92</v>
      </c>
      <c r="B92" s="146" t="s">
        <v>302</v>
      </c>
      <c r="C92" s="147" t="s">
        <v>297</v>
      </c>
      <c r="D92" s="148" t="s">
        <v>303</v>
      </c>
      <c r="E92" s="149" t="s">
        <v>304</v>
      </c>
      <c r="F92" s="150"/>
      <c r="G92" s="149" t="s">
        <v>300</v>
      </c>
      <c r="H92" s="151" t="s">
        <v>301</v>
      </c>
    </row>
    <row r="93" spans="1:9" s="9" customFormat="1" ht="24.95" customHeight="1">
      <c r="A93" s="139">
        <v>96</v>
      </c>
      <c r="B93" s="146" t="s">
        <v>305</v>
      </c>
      <c r="C93" s="147" t="s">
        <v>297</v>
      </c>
      <c r="D93" s="148" t="s">
        <v>303</v>
      </c>
      <c r="E93" s="149" t="s">
        <v>306</v>
      </c>
      <c r="F93" s="150"/>
      <c r="G93" s="149" t="s">
        <v>300</v>
      </c>
      <c r="H93" s="151" t="s">
        <v>301</v>
      </c>
    </row>
    <row r="94" spans="1:9" s="9" customFormat="1" ht="24.95" customHeight="1">
      <c r="A94" s="139">
        <v>90</v>
      </c>
      <c r="B94" s="146" t="s">
        <v>307</v>
      </c>
      <c r="C94" s="147" t="s">
        <v>297</v>
      </c>
      <c r="D94" s="148" t="s">
        <v>308</v>
      </c>
      <c r="E94" s="149" t="s">
        <v>309</v>
      </c>
      <c r="F94" s="150"/>
      <c r="G94" s="149" t="s">
        <v>300</v>
      </c>
      <c r="H94" s="151" t="s">
        <v>301</v>
      </c>
    </row>
    <row r="95" spans="1:9" s="9" customFormat="1" ht="24.95" customHeight="1">
      <c r="A95" s="139">
        <v>91</v>
      </c>
      <c r="B95" s="146" t="s">
        <v>310</v>
      </c>
      <c r="C95" s="147" t="s">
        <v>297</v>
      </c>
      <c r="D95" s="148" t="s">
        <v>311</v>
      </c>
      <c r="E95" s="149" t="s">
        <v>312</v>
      </c>
      <c r="F95" s="150"/>
      <c r="G95" s="149" t="s">
        <v>300</v>
      </c>
      <c r="H95" s="151" t="s">
        <v>301</v>
      </c>
    </row>
    <row r="96" spans="1:9" s="9" customFormat="1" ht="24.95" customHeight="1">
      <c r="A96" s="139">
        <v>94</v>
      </c>
      <c r="B96" s="146" t="s">
        <v>313</v>
      </c>
      <c r="C96" s="147" t="s">
        <v>297</v>
      </c>
      <c r="D96" s="148" t="s">
        <v>314</v>
      </c>
      <c r="E96" s="149" t="s">
        <v>315</v>
      </c>
      <c r="F96" s="150"/>
      <c r="G96" s="149" t="s">
        <v>300</v>
      </c>
      <c r="H96" s="151" t="s">
        <v>301</v>
      </c>
    </row>
    <row r="97" spans="1:8" s="9" customFormat="1" ht="24.95" customHeight="1">
      <c r="A97" s="132"/>
      <c r="B97" s="133"/>
      <c r="C97" s="34"/>
      <c r="D97" s="34"/>
      <c r="E97" s="35"/>
      <c r="F97" s="35"/>
      <c r="G97" s="35"/>
      <c r="H97" s="35"/>
    </row>
    <row r="98" spans="1:8" s="9" customFormat="1" ht="24.95" customHeight="1">
      <c r="A98" s="132"/>
      <c r="B98" s="133"/>
      <c r="C98" s="34"/>
      <c r="D98" s="34"/>
      <c r="E98" s="35"/>
      <c r="F98" s="35"/>
      <c r="G98" s="35"/>
      <c r="H98" s="35"/>
    </row>
    <row r="99" spans="1:8" s="9" customFormat="1" ht="24.95" customHeight="1">
      <c r="A99" s="132"/>
      <c r="B99" s="133"/>
      <c r="C99" s="34"/>
      <c r="D99" s="34"/>
      <c r="E99" s="35"/>
      <c r="F99" s="35"/>
      <c r="G99" s="35"/>
      <c r="H99" s="35"/>
    </row>
    <row r="100" spans="1:8" s="9" customFormat="1" ht="24.95" customHeight="1">
      <c r="A100" s="132"/>
      <c r="B100" s="133"/>
      <c r="C100" s="34"/>
      <c r="D100" s="34"/>
      <c r="E100" s="35"/>
      <c r="F100" s="35"/>
      <c r="G100" s="35"/>
      <c r="H100" s="35"/>
    </row>
    <row r="101" spans="1:8" s="9" customFormat="1" ht="24.95" customHeight="1">
      <c r="A101" s="132"/>
      <c r="B101" s="133"/>
      <c r="C101" s="34"/>
      <c r="D101" s="34"/>
      <c r="E101" s="35"/>
      <c r="F101" s="35"/>
      <c r="G101" s="35"/>
      <c r="H101" s="35"/>
    </row>
    <row r="102" spans="1:8" s="9" customFormat="1" ht="24.95" customHeight="1">
      <c r="A102" s="132"/>
      <c r="B102" s="133"/>
      <c r="C102" s="34"/>
      <c r="D102" s="34"/>
      <c r="E102" s="35"/>
      <c r="F102" s="35"/>
      <c r="G102" s="35"/>
      <c r="H102" s="35"/>
    </row>
    <row r="103" spans="1:8" s="9" customFormat="1" ht="24.95" customHeight="1">
      <c r="A103" s="132"/>
      <c r="B103" s="133"/>
      <c r="C103" s="34"/>
      <c r="D103" s="34"/>
      <c r="E103" s="35"/>
      <c r="F103" s="35"/>
      <c r="G103" s="35"/>
      <c r="H103" s="35"/>
    </row>
    <row r="104" spans="1:8" s="9" customFormat="1" ht="24.95" customHeight="1">
      <c r="A104" s="132"/>
      <c r="B104" s="133"/>
      <c r="C104" s="34"/>
      <c r="D104" s="34"/>
      <c r="E104" s="35"/>
      <c r="F104" s="35"/>
      <c r="G104" s="35"/>
      <c r="H104" s="35"/>
    </row>
  </sheetData>
  <sheetProtection sheet="1" objects="1" scenarios="1" selectLockedCells="1"/>
  <sortState ref="A6:H96">
    <sortCondition ref="B6:B96"/>
  </sortState>
  <dataConsolidate/>
  <mergeCells count="4">
    <mergeCell ref="B1:H1"/>
    <mergeCell ref="B2:H2"/>
    <mergeCell ref="B3:H3"/>
    <mergeCell ref="B4:H4"/>
  </mergeCells>
  <phoneticPr fontId="7" type="noConversion"/>
  <pageMargins left="0.7" right="0.7" top="0.78749999999999998" bottom="0.78749999999999998" header="0.51180555555555551" footer="0.51180555555555551"/>
  <pageSetup paperSize="9" firstPageNumber="0" orientation="portrait" horizontalDpi="300" verticalDpi="300" r:id="rId1"/>
  <headerFooter alignWithMargins="0">
    <oddHeader>&amp;RS. &amp;P/ &amp;N&amp;CForschungszentrum Jülich GmbH
 Messstellenkonfiguration&amp;LIBG-3_TERENO_FB 7-204</oddHeader>
    <oddFooter>&amp;RRevision: 2&amp;CGültig seit: 2013-09-25
gedruckt am: 2016-02-04&amp;LErstellt: Thomas Muckenheim
Geprüft: Thomas Muckenheim
Freigabe: Dr. Ralf Kunkel</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tt6"/>
  <dimension ref="A1:D30"/>
  <sheetViews>
    <sheetView workbookViewId="0">
      <selection activeCell="A20" sqref="A20"/>
    </sheetView>
  </sheetViews>
  <sheetFormatPr baseColWidth="10" defaultRowHeight="15"/>
  <cols>
    <col min="1" max="1" width="15.85546875" customWidth="1"/>
    <col min="2" max="2" width="37.42578125" customWidth="1"/>
    <col min="3" max="3" width="137.140625" customWidth="1"/>
    <col min="4" max="4" width="41" customWidth="1"/>
  </cols>
  <sheetData>
    <row r="1" spans="1:4" s="8" customFormat="1" ht="27" customHeight="1">
      <c r="A1" s="68" t="s">
        <v>912</v>
      </c>
      <c r="B1" s="69"/>
      <c r="C1" s="69"/>
    </row>
    <row r="2" spans="1:4" s="8" customFormat="1" ht="27" customHeight="1">
      <c r="A2" s="227" t="s">
        <v>1006</v>
      </c>
      <c r="B2" s="208"/>
      <c r="C2" s="208"/>
    </row>
    <row r="3" spans="1:4" s="8" customFormat="1" ht="27" customHeight="1">
      <c r="A3" s="227" t="s">
        <v>1015</v>
      </c>
      <c r="B3" s="208"/>
      <c r="C3" s="208"/>
    </row>
    <row r="4" spans="1:4" s="8" customFormat="1" ht="32.1" customHeight="1">
      <c r="A4" s="228"/>
      <c r="B4" s="229"/>
      <c r="C4" s="229"/>
    </row>
    <row r="5" spans="1:4" s="4" customFormat="1" ht="45" customHeight="1">
      <c r="A5" s="55" t="s">
        <v>1009</v>
      </c>
      <c r="B5" s="55" t="s">
        <v>1010</v>
      </c>
      <c r="C5" s="55" t="s">
        <v>997</v>
      </c>
      <c r="D5" s="55" t="s">
        <v>1011</v>
      </c>
    </row>
    <row r="6" spans="1:4" s="13" customFormat="1" ht="24.95" customHeight="1">
      <c r="A6" s="63" t="s">
        <v>337</v>
      </c>
      <c r="B6" s="64" t="s">
        <v>338</v>
      </c>
      <c r="C6" s="72" t="s">
        <v>339</v>
      </c>
      <c r="D6" s="75"/>
    </row>
    <row r="7" spans="1:4" s="13" customFormat="1" ht="24.95" customHeight="1">
      <c r="A7" s="65" t="s">
        <v>325</v>
      </c>
      <c r="B7" s="62" t="s">
        <v>326</v>
      </c>
      <c r="C7" s="73" t="s">
        <v>327</v>
      </c>
      <c r="D7" s="76"/>
    </row>
    <row r="8" spans="1:4" s="13" customFormat="1" ht="24.95" customHeight="1">
      <c r="A8" s="65" t="s">
        <v>331</v>
      </c>
      <c r="B8" s="62" t="s">
        <v>332</v>
      </c>
      <c r="C8" s="73" t="s">
        <v>333</v>
      </c>
      <c r="D8" s="76"/>
    </row>
    <row r="9" spans="1:4" s="13" customFormat="1" ht="24.95" customHeight="1">
      <c r="A9" s="65" t="s">
        <v>328</v>
      </c>
      <c r="B9" s="62" t="s">
        <v>329</v>
      </c>
      <c r="C9" s="73" t="s">
        <v>330</v>
      </c>
      <c r="D9" s="76"/>
    </row>
    <row r="10" spans="1:4" s="13" customFormat="1" ht="24.95" customHeight="1">
      <c r="A10" s="65" t="s">
        <v>322</v>
      </c>
      <c r="B10" s="62" t="s">
        <v>323</v>
      </c>
      <c r="C10" s="73" t="s">
        <v>324</v>
      </c>
      <c r="D10" s="76"/>
    </row>
    <row r="11" spans="1:4" s="13" customFormat="1" ht="24.95" customHeight="1">
      <c r="A11" s="65" t="s">
        <v>334</v>
      </c>
      <c r="B11" s="62" t="s">
        <v>335</v>
      </c>
      <c r="C11" s="73" t="s">
        <v>336</v>
      </c>
      <c r="D11" s="76"/>
    </row>
    <row r="12" spans="1:4" s="13" customFormat="1" ht="24.95" customHeight="1">
      <c r="A12" s="65" t="s">
        <v>319</v>
      </c>
      <c r="B12" s="62" t="s">
        <v>320</v>
      </c>
      <c r="C12" s="73" t="s">
        <v>321</v>
      </c>
      <c r="D12" s="76"/>
    </row>
    <row r="13" spans="1:4" s="13" customFormat="1" ht="24.95" customHeight="1">
      <c r="A13" s="65" t="s">
        <v>340</v>
      </c>
      <c r="B13" s="62" t="s">
        <v>341</v>
      </c>
      <c r="C13" s="73" t="s">
        <v>342</v>
      </c>
      <c r="D13" s="76"/>
    </row>
    <row r="14" spans="1:4" s="13" customFormat="1" ht="24.95" customHeight="1">
      <c r="A14" s="65" t="s">
        <v>346</v>
      </c>
      <c r="B14" s="62" t="s">
        <v>347</v>
      </c>
      <c r="C14" s="73" t="s">
        <v>348</v>
      </c>
      <c r="D14" s="76"/>
    </row>
    <row r="15" spans="1:4" s="13" customFormat="1" ht="24.95" customHeight="1">
      <c r="A15" s="65" t="s">
        <v>349</v>
      </c>
      <c r="B15" s="62" t="s">
        <v>350</v>
      </c>
      <c r="C15" s="73" t="s">
        <v>351</v>
      </c>
      <c r="D15" s="76"/>
    </row>
    <row r="16" spans="1:4" s="13" customFormat="1" ht="24.95" customHeight="1">
      <c r="A16" s="65" t="s">
        <v>352</v>
      </c>
      <c r="B16" s="62" t="s">
        <v>353</v>
      </c>
      <c r="C16" s="73" t="s">
        <v>354</v>
      </c>
      <c r="D16" s="76"/>
    </row>
    <row r="17" spans="1:4" s="13" customFormat="1" ht="24.95" customHeight="1">
      <c r="A17" s="65" t="s">
        <v>358</v>
      </c>
      <c r="B17" s="62" t="s">
        <v>359</v>
      </c>
      <c r="C17" s="73" t="s">
        <v>360</v>
      </c>
      <c r="D17" s="76"/>
    </row>
    <row r="18" spans="1:4" s="13" customFormat="1" ht="24.95" customHeight="1">
      <c r="A18" s="65" t="s">
        <v>355</v>
      </c>
      <c r="B18" s="62" t="s">
        <v>356</v>
      </c>
      <c r="C18" s="73" t="s">
        <v>357</v>
      </c>
      <c r="D18" s="76"/>
    </row>
    <row r="19" spans="1:4" s="13" customFormat="1" ht="24.95" customHeight="1">
      <c r="A19" s="66" t="s">
        <v>343</v>
      </c>
      <c r="B19" s="67" t="s">
        <v>344</v>
      </c>
      <c r="C19" s="74" t="s">
        <v>345</v>
      </c>
      <c r="D19" s="77"/>
    </row>
    <row r="20" spans="1:4" ht="24.95" customHeight="1">
      <c r="A20" s="35"/>
      <c r="B20" s="35"/>
      <c r="C20" s="34"/>
    </row>
    <row r="21" spans="1:4" ht="24.95" customHeight="1">
      <c r="A21" s="29"/>
      <c r="B21" s="29"/>
      <c r="C21" s="28"/>
    </row>
    <row r="22" spans="1:4" ht="24.95" customHeight="1">
      <c r="A22" s="29"/>
      <c r="B22" s="29"/>
      <c r="C22" s="28"/>
    </row>
    <row r="23" spans="1:4" ht="24.95" customHeight="1">
      <c r="A23" s="29"/>
      <c r="B23" s="29"/>
      <c r="C23" s="28"/>
    </row>
    <row r="24" spans="1:4" ht="24.95" customHeight="1">
      <c r="A24" s="29"/>
      <c r="B24" s="29"/>
      <c r="C24" s="28"/>
    </row>
    <row r="25" spans="1:4" ht="24.95" customHeight="1">
      <c r="A25" s="29"/>
      <c r="B25" s="29"/>
      <c r="C25" s="28"/>
    </row>
    <row r="26" spans="1:4" ht="24.95" customHeight="1">
      <c r="A26" s="29"/>
      <c r="B26" s="29"/>
      <c r="C26" s="28"/>
    </row>
    <row r="27" spans="1:4" ht="24.95" customHeight="1">
      <c r="A27" s="29"/>
      <c r="B27" s="29"/>
      <c r="C27" s="28"/>
    </row>
    <row r="28" spans="1:4" ht="24.95" customHeight="1">
      <c r="A28" s="29"/>
      <c r="B28" s="29"/>
      <c r="C28" s="28"/>
    </row>
    <row r="29" spans="1:4" ht="24.95" customHeight="1">
      <c r="A29" s="29"/>
      <c r="B29" s="29"/>
      <c r="C29" s="28"/>
    </row>
    <row r="30" spans="1:4" ht="24.95" customHeight="1">
      <c r="A30" s="29"/>
      <c r="B30" s="29"/>
      <c r="C30" s="28"/>
    </row>
  </sheetData>
  <sheetProtection sheet="1" objects="1" scenarios="1" selectLockedCells="1"/>
  <mergeCells count="3">
    <mergeCell ref="A2:C2"/>
    <mergeCell ref="A3:C3"/>
    <mergeCell ref="A4:C4"/>
  </mergeCells>
  <phoneticPr fontId="7" type="noConversion"/>
  <pageMargins left="0.78740157499999996" right="0.78740157499999996" top="0.984251969" bottom="0.984251969" header="0.5" footer="0.5"/>
  <pageSetup paperSize="9" orientation="portrait" horizontalDpi="4294967292" verticalDpi="4294967292" r:id="rId1"/>
  <headerFooter alignWithMargins="0">
    <oddHeader>&amp;RS. &amp;P/ &amp;N&amp;CForschungszentrum Jülich GmbH
 Messstellenkonfiguration&amp;LIBG-3_TERENO_FB 7-204</oddHeader>
    <oddFooter>&amp;RRevision: 2&amp;CGültig seit: 2013-09-25
gedruckt am: 2016-02-04&amp;LErstellt: Thomas Muckenheim
Geprüft: Thomas Muckenheim
Freigabe: Dr. Ralf Kunkel</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tt7"/>
  <dimension ref="A1:D90"/>
  <sheetViews>
    <sheetView topLeftCell="A49" workbookViewId="0">
      <selection activeCell="B79" sqref="B79"/>
    </sheetView>
  </sheetViews>
  <sheetFormatPr baseColWidth="10" defaultRowHeight="15"/>
  <cols>
    <col min="1" max="1" width="17.85546875" customWidth="1"/>
    <col min="2" max="2" width="40.42578125" customWidth="1"/>
    <col min="3" max="3" width="69.140625" customWidth="1"/>
    <col min="4" max="4" width="39.42578125" style="13" customWidth="1"/>
  </cols>
  <sheetData>
    <row r="1" spans="1:4" s="81" customFormat="1" ht="27" customHeight="1">
      <c r="A1" s="90" t="s">
        <v>912</v>
      </c>
      <c r="B1" s="91"/>
      <c r="C1" s="91"/>
    </row>
    <row r="2" spans="1:4" s="81" customFormat="1" ht="27" customHeight="1">
      <c r="A2" s="54" t="s">
        <v>1006</v>
      </c>
      <c r="B2" s="49"/>
      <c r="C2" s="49"/>
    </row>
    <row r="3" spans="1:4" s="8" customFormat="1" ht="27" customHeight="1">
      <c r="A3" s="60" t="s">
        <v>1014</v>
      </c>
      <c r="B3" s="53"/>
      <c r="C3" s="53"/>
    </row>
    <row r="4" spans="1:4" s="8" customFormat="1" ht="32.1" customHeight="1">
      <c r="A4" s="70"/>
      <c r="B4" s="71"/>
      <c r="C4" s="71"/>
    </row>
    <row r="5" spans="1:4" s="4" customFormat="1" ht="45" customHeight="1">
      <c r="A5" s="55" t="s">
        <v>1009</v>
      </c>
      <c r="B5" s="55" t="s">
        <v>1010</v>
      </c>
      <c r="C5" s="55" t="s">
        <v>997</v>
      </c>
      <c r="D5" s="55" t="s">
        <v>1011</v>
      </c>
    </row>
    <row r="6" spans="1:4" s="13" customFormat="1" ht="24.95" customHeight="1">
      <c r="A6" s="63" t="s">
        <v>482</v>
      </c>
      <c r="B6" s="64" t="s">
        <v>483</v>
      </c>
      <c r="C6" s="64" t="s">
        <v>477</v>
      </c>
      <c r="D6" s="78"/>
    </row>
    <row r="7" spans="1:4" s="13" customFormat="1" ht="24.95" customHeight="1">
      <c r="A7" s="65" t="s">
        <v>385</v>
      </c>
      <c r="B7" s="62" t="s">
        <v>386</v>
      </c>
      <c r="C7" s="62"/>
      <c r="D7" s="79"/>
    </row>
    <row r="8" spans="1:4" s="13" customFormat="1" ht="24.95" customHeight="1">
      <c r="A8" s="65" t="s">
        <v>381</v>
      </c>
      <c r="B8" s="62" t="s">
        <v>381</v>
      </c>
      <c r="C8" s="62"/>
      <c r="D8" s="79"/>
    </row>
    <row r="9" spans="1:4" s="13" customFormat="1" ht="24.95" customHeight="1">
      <c r="A9" s="65" t="s">
        <v>389</v>
      </c>
      <c r="B9" s="62" t="s">
        <v>390</v>
      </c>
      <c r="C9" s="62"/>
      <c r="D9" s="79"/>
    </row>
    <row r="10" spans="1:4" s="13" customFormat="1" ht="24.95" customHeight="1">
      <c r="A10" s="65" t="s">
        <v>391</v>
      </c>
      <c r="B10" s="62" t="s">
        <v>392</v>
      </c>
      <c r="C10" s="62"/>
      <c r="D10" s="79"/>
    </row>
    <row r="11" spans="1:4" s="13" customFormat="1" ht="24.95" customHeight="1">
      <c r="A11" s="65" t="s">
        <v>433</v>
      </c>
      <c r="B11" s="62" t="s">
        <v>434</v>
      </c>
      <c r="C11" s="62"/>
      <c r="D11" s="79"/>
    </row>
    <row r="12" spans="1:4" s="13" customFormat="1" ht="24.95" customHeight="1">
      <c r="A12" s="65" t="s">
        <v>387</v>
      </c>
      <c r="B12" s="62" t="s">
        <v>388</v>
      </c>
      <c r="C12" s="62"/>
      <c r="D12" s="79"/>
    </row>
    <row r="13" spans="1:4" s="13" customFormat="1" ht="24.95" customHeight="1">
      <c r="A13" s="65" t="s">
        <v>383</v>
      </c>
      <c r="B13" s="62" t="s">
        <v>384</v>
      </c>
      <c r="C13" s="62"/>
      <c r="D13" s="79"/>
    </row>
    <row r="14" spans="1:4" s="13" customFormat="1" ht="24.95" customHeight="1">
      <c r="A14" s="65" t="s">
        <v>448</v>
      </c>
      <c r="B14" s="62" t="s">
        <v>449</v>
      </c>
      <c r="C14" s="62"/>
      <c r="D14" s="79"/>
    </row>
    <row r="15" spans="1:4" s="13" customFormat="1" ht="24.95" customHeight="1">
      <c r="A15" s="65" t="s">
        <v>382</v>
      </c>
      <c r="B15" s="62" t="s">
        <v>382</v>
      </c>
      <c r="C15" s="62"/>
      <c r="D15" s="79"/>
    </row>
    <row r="16" spans="1:4" s="13" customFormat="1" ht="24.95" customHeight="1">
      <c r="A16" s="65" t="s">
        <v>450</v>
      </c>
      <c r="B16" s="62" t="s">
        <v>451</v>
      </c>
      <c r="C16" s="62"/>
      <c r="D16" s="79"/>
    </row>
    <row r="17" spans="1:4" s="13" customFormat="1" ht="24.95" customHeight="1">
      <c r="A17" s="65" t="s">
        <v>361</v>
      </c>
      <c r="B17" s="62" t="s">
        <v>362</v>
      </c>
      <c r="C17" s="62"/>
      <c r="D17" s="79"/>
    </row>
    <row r="18" spans="1:4" s="13" customFormat="1" ht="24.95" customHeight="1">
      <c r="A18" s="65" t="s">
        <v>456</v>
      </c>
      <c r="B18" s="62" t="s">
        <v>457</v>
      </c>
      <c r="C18" s="62"/>
      <c r="D18" s="79"/>
    </row>
    <row r="19" spans="1:4" s="13" customFormat="1" ht="24.95" customHeight="1">
      <c r="A19" s="65" t="s">
        <v>393</v>
      </c>
      <c r="B19" s="62" t="s">
        <v>394</v>
      </c>
      <c r="C19" s="62"/>
      <c r="D19" s="79"/>
    </row>
    <row r="20" spans="1:4" s="13" customFormat="1" ht="24.95" customHeight="1">
      <c r="A20" s="65" t="s">
        <v>423</v>
      </c>
      <c r="B20" s="62" t="s">
        <v>423</v>
      </c>
      <c r="C20" s="62"/>
      <c r="D20" s="79"/>
    </row>
    <row r="21" spans="1:4" s="13" customFormat="1" ht="24.95" customHeight="1">
      <c r="A21" s="65" t="s">
        <v>424</v>
      </c>
      <c r="B21" s="62" t="s">
        <v>425</v>
      </c>
      <c r="C21" s="62"/>
      <c r="D21" s="79"/>
    </row>
    <row r="22" spans="1:4" s="13" customFormat="1" ht="24.95" customHeight="1">
      <c r="A22" s="65" t="s">
        <v>395</v>
      </c>
      <c r="B22" s="62" t="s">
        <v>396</v>
      </c>
      <c r="C22" s="62"/>
      <c r="D22" s="79"/>
    </row>
    <row r="23" spans="1:4" s="13" customFormat="1" ht="24.95" customHeight="1">
      <c r="A23" s="65" t="s">
        <v>397</v>
      </c>
      <c r="B23" s="62" t="s">
        <v>398</v>
      </c>
      <c r="C23" s="62"/>
      <c r="D23" s="79"/>
    </row>
    <row r="24" spans="1:4" s="13" customFormat="1" ht="24.95" customHeight="1">
      <c r="A24" s="65" t="s">
        <v>469</v>
      </c>
      <c r="B24" s="62" t="s">
        <v>470</v>
      </c>
      <c r="C24" s="62"/>
      <c r="D24" s="79"/>
    </row>
    <row r="25" spans="1:4" s="13" customFormat="1" ht="24.95" customHeight="1">
      <c r="A25" s="65" t="s">
        <v>468</v>
      </c>
      <c r="B25" s="62" t="s">
        <v>468</v>
      </c>
      <c r="C25" s="62"/>
      <c r="D25" s="79"/>
    </row>
    <row r="26" spans="1:4" s="13" customFormat="1" ht="24.95" customHeight="1">
      <c r="A26" s="65" t="s">
        <v>427</v>
      </c>
      <c r="B26" s="62" t="s">
        <v>427</v>
      </c>
      <c r="C26" s="62"/>
      <c r="D26" s="79"/>
    </row>
    <row r="27" spans="1:4" s="13" customFormat="1" ht="24.95" customHeight="1">
      <c r="A27" s="65" t="s">
        <v>426</v>
      </c>
      <c r="B27" s="62" t="s">
        <v>426</v>
      </c>
      <c r="C27" s="62"/>
      <c r="D27" s="79"/>
    </row>
    <row r="28" spans="1:4" s="13" customFormat="1" ht="24.95" customHeight="1">
      <c r="A28" s="65" t="s">
        <v>421</v>
      </c>
      <c r="B28" s="62" t="s">
        <v>422</v>
      </c>
      <c r="C28" s="62"/>
      <c r="D28" s="79"/>
    </row>
    <row r="29" spans="1:4" s="13" customFormat="1" ht="24.95" customHeight="1">
      <c r="A29" s="65" t="s">
        <v>399</v>
      </c>
      <c r="B29" s="62" t="s">
        <v>400</v>
      </c>
      <c r="C29" s="62"/>
      <c r="D29" s="79"/>
    </row>
    <row r="30" spans="1:4" s="13" customFormat="1" ht="24.95" customHeight="1">
      <c r="A30" s="65" t="s">
        <v>431</v>
      </c>
      <c r="B30" s="62" t="s">
        <v>432</v>
      </c>
      <c r="C30" s="62"/>
      <c r="D30" s="79"/>
    </row>
    <row r="31" spans="1:4" s="13" customFormat="1" ht="24.95" customHeight="1">
      <c r="A31" s="65" t="s">
        <v>435</v>
      </c>
      <c r="B31" s="62" t="s">
        <v>436</v>
      </c>
      <c r="C31" s="62"/>
      <c r="D31" s="79"/>
    </row>
    <row r="32" spans="1:4" s="13" customFormat="1" ht="24.95" customHeight="1">
      <c r="A32" s="65" t="s">
        <v>401</v>
      </c>
      <c r="B32" s="62" t="s">
        <v>402</v>
      </c>
      <c r="C32" s="62"/>
      <c r="D32" s="79"/>
    </row>
    <row r="33" spans="1:4" s="13" customFormat="1" ht="24.95" customHeight="1">
      <c r="A33" s="65" t="s">
        <v>403</v>
      </c>
      <c r="B33" s="62" t="s">
        <v>404</v>
      </c>
      <c r="C33" s="62"/>
      <c r="D33" s="79"/>
    </row>
    <row r="34" spans="1:4" s="13" customFormat="1" ht="24.95" customHeight="1">
      <c r="A34" s="65" t="s">
        <v>411</v>
      </c>
      <c r="B34" s="62" t="s">
        <v>412</v>
      </c>
      <c r="C34" s="62"/>
      <c r="D34" s="79"/>
    </row>
    <row r="35" spans="1:4" s="13" customFormat="1" ht="24.95" customHeight="1">
      <c r="A35" s="65" t="s">
        <v>377</v>
      </c>
      <c r="B35" s="62" t="s">
        <v>378</v>
      </c>
      <c r="C35" s="62"/>
      <c r="D35" s="79"/>
    </row>
    <row r="36" spans="1:4" s="13" customFormat="1" ht="24.95" customHeight="1">
      <c r="A36" s="65" t="s">
        <v>405</v>
      </c>
      <c r="B36" s="62" t="s">
        <v>406</v>
      </c>
      <c r="C36" s="62"/>
      <c r="D36" s="79"/>
    </row>
    <row r="37" spans="1:4" s="13" customFormat="1" ht="24.95" customHeight="1">
      <c r="A37" s="65" t="s">
        <v>407</v>
      </c>
      <c r="B37" s="62" t="s">
        <v>408</v>
      </c>
      <c r="C37" s="62"/>
      <c r="D37" s="79"/>
    </row>
    <row r="38" spans="1:4" s="13" customFormat="1" ht="24.95" customHeight="1">
      <c r="A38" s="65" t="s">
        <v>375</v>
      </c>
      <c r="B38" s="62" t="s">
        <v>376</v>
      </c>
      <c r="C38" s="62"/>
      <c r="D38" s="79"/>
    </row>
    <row r="39" spans="1:4" s="13" customFormat="1" ht="24.95" customHeight="1">
      <c r="A39" s="65" t="s">
        <v>409</v>
      </c>
      <c r="B39" s="62" t="s">
        <v>410</v>
      </c>
      <c r="C39" s="62"/>
      <c r="D39" s="79"/>
    </row>
    <row r="40" spans="1:4" s="13" customFormat="1" ht="24.95" customHeight="1">
      <c r="A40" s="65" t="s">
        <v>413</v>
      </c>
      <c r="B40" s="62" t="s">
        <v>414</v>
      </c>
      <c r="C40" s="62"/>
      <c r="D40" s="79"/>
    </row>
    <row r="41" spans="1:4" s="13" customFormat="1" ht="24.95" customHeight="1">
      <c r="A41" s="65" t="s">
        <v>442</v>
      </c>
      <c r="B41" s="62" t="s">
        <v>443</v>
      </c>
      <c r="C41" s="62"/>
      <c r="D41" s="79"/>
    </row>
    <row r="42" spans="1:4" s="13" customFormat="1" ht="24.95" customHeight="1">
      <c r="A42" s="65" t="s">
        <v>471</v>
      </c>
      <c r="B42" s="62" t="s">
        <v>472</v>
      </c>
      <c r="C42" s="62"/>
      <c r="D42" s="79"/>
    </row>
    <row r="43" spans="1:4" s="13" customFormat="1" ht="24.95" customHeight="1">
      <c r="A43" s="65" t="s">
        <v>446</v>
      </c>
      <c r="B43" s="62" t="s">
        <v>447</v>
      </c>
      <c r="C43" s="62"/>
      <c r="D43" s="79"/>
    </row>
    <row r="44" spans="1:4" s="13" customFormat="1" ht="24.95" customHeight="1">
      <c r="A44" s="65" t="s">
        <v>415</v>
      </c>
      <c r="B44" s="62" t="s">
        <v>416</v>
      </c>
      <c r="C44" s="62"/>
      <c r="D44" s="79"/>
    </row>
    <row r="45" spans="1:4" s="13" customFormat="1" ht="24.95" customHeight="1">
      <c r="A45" s="65" t="s">
        <v>1095</v>
      </c>
      <c r="B45" s="62" t="s">
        <v>1096</v>
      </c>
      <c r="C45" s="62" t="s">
        <v>1094</v>
      </c>
      <c r="D45" s="79"/>
    </row>
    <row r="46" spans="1:4" s="13" customFormat="1" ht="24.95" customHeight="1">
      <c r="A46" s="65" t="s">
        <v>367</v>
      </c>
      <c r="B46" s="62" t="s">
        <v>368</v>
      </c>
      <c r="C46" s="62"/>
      <c r="D46" s="79"/>
    </row>
    <row r="47" spans="1:4" s="13" customFormat="1" ht="24.95" customHeight="1">
      <c r="A47" s="65" t="s">
        <v>437</v>
      </c>
      <c r="B47" s="62" t="s">
        <v>438</v>
      </c>
      <c r="C47" s="62"/>
      <c r="D47" s="79"/>
    </row>
    <row r="48" spans="1:4" s="13" customFormat="1" ht="24.95" customHeight="1">
      <c r="A48" s="65" t="s">
        <v>473</v>
      </c>
      <c r="B48" s="62" t="s">
        <v>474</v>
      </c>
      <c r="C48" s="62"/>
      <c r="D48" s="79"/>
    </row>
    <row r="49" spans="1:4" s="13" customFormat="1" ht="24.95" customHeight="1">
      <c r="A49" s="65" t="s">
        <v>463</v>
      </c>
      <c r="B49" s="62" t="s">
        <v>464</v>
      </c>
      <c r="C49" s="62"/>
      <c r="D49" s="79"/>
    </row>
    <row r="50" spans="1:4" s="13" customFormat="1" ht="24.95" customHeight="1">
      <c r="A50" s="65" t="s">
        <v>490</v>
      </c>
      <c r="B50" s="62" t="s">
        <v>491</v>
      </c>
      <c r="C50" s="62"/>
      <c r="D50" s="79"/>
    </row>
    <row r="51" spans="1:4" s="13" customFormat="1" ht="24.95" customHeight="1">
      <c r="A51" s="65" t="s">
        <v>492</v>
      </c>
      <c r="B51" s="62" t="s">
        <v>493</v>
      </c>
      <c r="C51" s="62"/>
      <c r="D51" s="79"/>
    </row>
    <row r="52" spans="1:4" s="13" customFormat="1" ht="24.95" customHeight="1">
      <c r="A52" s="65" t="s">
        <v>439</v>
      </c>
      <c r="B52" s="62" t="s">
        <v>440</v>
      </c>
      <c r="C52" s="62"/>
      <c r="D52" s="79"/>
    </row>
    <row r="53" spans="1:4" s="13" customFormat="1" ht="24.95" customHeight="1">
      <c r="A53" s="65" t="s">
        <v>428</v>
      </c>
      <c r="B53" s="62" t="s">
        <v>429</v>
      </c>
      <c r="C53" s="62" t="s">
        <v>430</v>
      </c>
      <c r="D53" s="79"/>
    </row>
    <row r="54" spans="1:4" s="13" customFormat="1" ht="24.95" customHeight="1">
      <c r="A54" s="65" t="s">
        <v>484</v>
      </c>
      <c r="B54" s="62" t="s">
        <v>485</v>
      </c>
      <c r="C54" s="62"/>
      <c r="D54" s="79"/>
    </row>
    <row r="55" spans="1:4" s="13" customFormat="1" ht="24.95" customHeight="1">
      <c r="A55" s="65" t="s">
        <v>486</v>
      </c>
      <c r="B55" s="62" t="s">
        <v>487</v>
      </c>
      <c r="C55" s="62"/>
      <c r="D55" s="79"/>
    </row>
    <row r="56" spans="1:4" s="13" customFormat="1" ht="24.95" customHeight="1">
      <c r="A56" s="65" t="s">
        <v>488</v>
      </c>
      <c r="B56" s="62" t="s">
        <v>489</v>
      </c>
      <c r="C56" s="62"/>
      <c r="D56" s="79"/>
    </row>
    <row r="57" spans="1:4" s="13" customFormat="1" ht="24.95" customHeight="1">
      <c r="A57" s="65" t="s">
        <v>452</v>
      </c>
      <c r="B57" s="62" t="s">
        <v>453</v>
      </c>
      <c r="C57" s="62"/>
      <c r="D57" s="79"/>
    </row>
    <row r="58" spans="1:4" s="13" customFormat="1" ht="24.95" customHeight="1">
      <c r="A58" s="65" t="s">
        <v>379</v>
      </c>
      <c r="B58" s="62" t="s">
        <v>380</v>
      </c>
      <c r="C58" s="62"/>
      <c r="D58" s="79"/>
    </row>
    <row r="59" spans="1:4" s="13" customFormat="1" ht="24.95" customHeight="1">
      <c r="A59" s="65" t="s">
        <v>478</v>
      </c>
      <c r="B59" s="62" t="s">
        <v>479</v>
      </c>
      <c r="C59" s="62" t="s">
        <v>477</v>
      </c>
      <c r="D59" s="79"/>
    </row>
    <row r="60" spans="1:4" s="13" customFormat="1" ht="24.95" customHeight="1">
      <c r="A60" s="65" t="s">
        <v>494</v>
      </c>
      <c r="B60" s="62" t="s">
        <v>495</v>
      </c>
      <c r="C60" s="62"/>
      <c r="D60" s="79"/>
    </row>
    <row r="61" spans="1:4" s="13" customFormat="1" ht="24.95" customHeight="1">
      <c r="A61" s="65" t="s">
        <v>373</v>
      </c>
      <c r="B61" s="62" t="s">
        <v>374</v>
      </c>
      <c r="C61" s="62"/>
      <c r="D61" s="79"/>
    </row>
    <row r="62" spans="1:4" s="13" customFormat="1" ht="24.95" customHeight="1">
      <c r="A62" s="65" t="s">
        <v>454</v>
      </c>
      <c r="B62" s="62" t="s">
        <v>455</v>
      </c>
      <c r="C62" s="62"/>
      <c r="D62" s="79"/>
    </row>
    <row r="63" spans="1:4" s="13" customFormat="1" ht="24.95" customHeight="1">
      <c r="A63" s="65" t="s">
        <v>417</v>
      </c>
      <c r="B63" s="62" t="s">
        <v>418</v>
      </c>
      <c r="C63" s="62"/>
      <c r="D63" s="79"/>
    </row>
    <row r="64" spans="1:4" s="13" customFormat="1" ht="24.95" customHeight="1">
      <c r="A64" s="65" t="s">
        <v>459</v>
      </c>
      <c r="B64" s="62" t="s">
        <v>460</v>
      </c>
      <c r="C64" s="62"/>
      <c r="D64" s="79"/>
    </row>
    <row r="65" spans="1:4" s="13" customFormat="1" ht="24.95" customHeight="1">
      <c r="A65" s="65" t="s">
        <v>461</v>
      </c>
      <c r="B65" s="62" t="s">
        <v>462</v>
      </c>
      <c r="C65" s="62"/>
      <c r="D65" s="79"/>
    </row>
    <row r="66" spans="1:4" s="13" customFormat="1" ht="24.95" customHeight="1">
      <c r="A66" s="65" t="s">
        <v>369</v>
      </c>
      <c r="B66" s="62" t="s">
        <v>370</v>
      </c>
      <c r="C66" s="62"/>
      <c r="D66" s="79"/>
    </row>
    <row r="67" spans="1:4" s="13" customFormat="1" ht="24.95" customHeight="1">
      <c r="A67" s="65" t="s">
        <v>441</v>
      </c>
      <c r="B67" s="62" t="s">
        <v>441</v>
      </c>
      <c r="C67" s="62"/>
      <c r="D67" s="79"/>
    </row>
    <row r="68" spans="1:4" s="13" customFormat="1" ht="24.95" customHeight="1">
      <c r="A68" s="65" t="s">
        <v>363</v>
      </c>
      <c r="B68" s="62" t="s">
        <v>364</v>
      </c>
      <c r="C68" s="62"/>
      <c r="D68" s="79"/>
    </row>
    <row r="69" spans="1:4" s="13" customFormat="1" ht="24.95" customHeight="1">
      <c r="A69" s="65" t="s">
        <v>419</v>
      </c>
      <c r="B69" s="62" t="s">
        <v>420</v>
      </c>
      <c r="C69" s="62"/>
      <c r="D69" s="79"/>
    </row>
    <row r="70" spans="1:4" s="13" customFormat="1" ht="24.95" customHeight="1">
      <c r="A70" s="65" t="s">
        <v>496</v>
      </c>
      <c r="B70" s="62" t="s">
        <v>497</v>
      </c>
      <c r="C70" s="62"/>
      <c r="D70" s="79"/>
    </row>
    <row r="71" spans="1:4" s="13" customFormat="1" ht="24.95" customHeight="1">
      <c r="A71" s="65" t="s">
        <v>458</v>
      </c>
      <c r="B71" s="62" t="s">
        <v>458</v>
      </c>
      <c r="C71" s="62"/>
      <c r="D71" s="79"/>
    </row>
    <row r="72" spans="1:4" s="13" customFormat="1" ht="24.95" customHeight="1">
      <c r="A72" s="65" t="s">
        <v>371</v>
      </c>
      <c r="B72" s="62" t="s">
        <v>372</v>
      </c>
      <c r="C72" s="62"/>
      <c r="D72" s="79"/>
    </row>
    <row r="73" spans="1:4" s="13" customFormat="1" ht="24.95" customHeight="1">
      <c r="A73" s="65" t="s">
        <v>365</v>
      </c>
      <c r="B73" s="62" t="s">
        <v>366</v>
      </c>
      <c r="C73" s="62"/>
      <c r="D73" s="79"/>
    </row>
    <row r="74" spans="1:4" s="13" customFormat="1" ht="24.95" customHeight="1">
      <c r="A74" s="65" t="s">
        <v>444</v>
      </c>
      <c r="B74" s="62" t="s">
        <v>445</v>
      </c>
      <c r="C74" s="62"/>
      <c r="D74" s="79"/>
    </row>
    <row r="75" spans="1:4" s="13" customFormat="1" ht="24.95" customHeight="1">
      <c r="A75" s="65" t="s">
        <v>475</v>
      </c>
      <c r="B75" s="62" t="s">
        <v>476</v>
      </c>
      <c r="C75" s="62" t="s">
        <v>477</v>
      </c>
      <c r="D75" s="79"/>
    </row>
    <row r="76" spans="1:4" s="13" customFormat="1" ht="24.95" customHeight="1">
      <c r="A76" s="65" t="s">
        <v>480</v>
      </c>
      <c r="B76" s="62" t="s">
        <v>481</v>
      </c>
      <c r="C76" s="62"/>
      <c r="D76" s="79"/>
    </row>
    <row r="77" spans="1:4" s="13" customFormat="1" ht="24.95" customHeight="1">
      <c r="A77" s="66" t="s">
        <v>465</v>
      </c>
      <c r="B77" s="67" t="s">
        <v>2</v>
      </c>
      <c r="C77" s="67"/>
      <c r="D77" s="80"/>
    </row>
    <row r="78" spans="1:4" s="13" customFormat="1" ht="24.95" customHeight="1">
      <c r="A78" s="66" t="s">
        <v>466</v>
      </c>
      <c r="B78" s="67" t="s">
        <v>467</v>
      </c>
      <c r="C78" s="67"/>
      <c r="D78" s="80"/>
    </row>
    <row r="79" spans="1:4" ht="24.95" customHeight="1">
      <c r="A79" s="170" t="s">
        <v>1163</v>
      </c>
      <c r="B79" s="170" t="s">
        <v>1164</v>
      </c>
      <c r="C79" s="34"/>
      <c r="D79"/>
    </row>
    <row r="80" spans="1:4" ht="24.95" customHeight="1">
      <c r="A80" s="35"/>
      <c r="B80" s="35"/>
      <c r="C80" s="34"/>
      <c r="D80"/>
    </row>
    <row r="81" spans="1:4" ht="24.95" customHeight="1">
      <c r="A81" s="35"/>
      <c r="B81" s="35"/>
      <c r="C81" s="34"/>
      <c r="D81"/>
    </row>
    <row r="82" spans="1:4" ht="24.95" customHeight="1">
      <c r="A82" s="35"/>
      <c r="B82" s="35"/>
      <c r="C82" s="34"/>
      <c r="D82"/>
    </row>
    <row r="83" spans="1:4" ht="24.95" customHeight="1">
      <c r="A83" s="35"/>
      <c r="B83" s="35"/>
      <c r="C83" s="34"/>
      <c r="D83"/>
    </row>
    <row r="84" spans="1:4" ht="24.95" customHeight="1">
      <c r="A84" s="35"/>
      <c r="B84" s="35"/>
      <c r="C84" s="34"/>
      <c r="D84"/>
    </row>
    <row r="85" spans="1:4" ht="24.95" customHeight="1">
      <c r="A85" s="35"/>
      <c r="B85" s="35"/>
      <c r="C85" s="34"/>
      <c r="D85"/>
    </row>
    <row r="86" spans="1:4" ht="24.95" customHeight="1">
      <c r="A86" s="35"/>
      <c r="B86" s="35"/>
      <c r="C86" s="34"/>
      <c r="D86"/>
    </row>
    <row r="87" spans="1:4" ht="24.95" customHeight="1">
      <c r="A87" s="35"/>
      <c r="B87" s="35"/>
      <c r="C87" s="34"/>
      <c r="D87"/>
    </row>
    <row r="88" spans="1:4" ht="24.95" customHeight="1">
      <c r="A88" s="35"/>
      <c r="B88" s="35"/>
      <c r="C88" s="34"/>
      <c r="D88"/>
    </row>
    <row r="89" spans="1:4" ht="24.95" customHeight="1">
      <c r="A89" s="35"/>
      <c r="B89" s="35"/>
      <c r="C89" s="34"/>
      <c r="D89"/>
    </row>
    <row r="90" spans="1:4" ht="24.95" customHeight="1">
      <c r="A90" s="35"/>
      <c r="B90" s="35"/>
      <c r="C90" s="34"/>
      <c r="D90"/>
    </row>
  </sheetData>
  <sheetProtection sheet="1" objects="1" scenarios="1" selectLockedCells="1"/>
  <sortState ref="A7:C78">
    <sortCondition ref="A78"/>
  </sortState>
  <phoneticPr fontId="7" type="noConversion"/>
  <pageMargins left="0.78740157499999996" right="0.78740157499999996" top="0.984251969" bottom="0.984251969" header="0.5" footer="0.5"/>
  <pageSetup paperSize="9" orientation="portrait" horizontalDpi="4294967292" verticalDpi="4294967292" r:id="rId1"/>
  <headerFooter alignWithMargins="0">
    <oddHeader>&amp;RS. &amp;P/ &amp;N&amp;CForschungszentrum Jülich GmbH
 Messstellenkonfiguration&amp;LIBG-3_TERENO_FB 7-204</oddHeader>
    <oddFooter>&amp;RRevision: 2&amp;CGültig seit: 2013-09-25
gedruckt am: 2016-02-04&amp;LErstellt: Thomas Muckenheim
Geprüft: Thomas Muckenheim
Freigabe: Dr. Ralf Kunkel</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tt8"/>
  <dimension ref="A1:D25"/>
  <sheetViews>
    <sheetView workbookViewId="0">
      <selection activeCell="C15" sqref="C15"/>
    </sheetView>
  </sheetViews>
  <sheetFormatPr baseColWidth="10" defaultRowHeight="15"/>
  <cols>
    <col min="1" max="1" width="21.140625" customWidth="1"/>
    <col min="2" max="2" width="27" customWidth="1"/>
    <col min="3" max="3" width="81" customWidth="1"/>
    <col min="4" max="4" width="34.85546875" customWidth="1"/>
  </cols>
  <sheetData>
    <row r="1" spans="1:4" s="81" customFormat="1" ht="27" customHeight="1">
      <c r="A1" s="225" t="s">
        <v>912</v>
      </c>
      <c r="B1" s="226"/>
      <c r="C1" s="226"/>
    </row>
    <row r="2" spans="1:4" s="81" customFormat="1" ht="27" customHeight="1">
      <c r="A2" s="54" t="s">
        <v>1006</v>
      </c>
      <c r="B2" s="49"/>
      <c r="C2" s="49"/>
    </row>
    <row r="3" spans="1:4" s="8" customFormat="1" ht="27" customHeight="1">
      <c r="A3" s="60" t="s">
        <v>1012</v>
      </c>
      <c r="B3" s="53"/>
      <c r="C3" s="53"/>
    </row>
    <row r="4" spans="1:4" s="8" customFormat="1" ht="32.1" customHeight="1">
      <c r="A4" s="70"/>
      <c r="B4" s="71"/>
      <c r="C4" s="71"/>
    </row>
    <row r="5" spans="1:4" s="4" customFormat="1" ht="45" customHeight="1">
      <c r="A5" s="55" t="s">
        <v>1009</v>
      </c>
      <c r="B5" s="55" t="s">
        <v>1010</v>
      </c>
      <c r="C5" s="55" t="s">
        <v>997</v>
      </c>
      <c r="D5" s="55" t="s">
        <v>1011</v>
      </c>
    </row>
    <row r="6" spans="1:4" s="13" customFormat="1" ht="24.95" customHeight="1">
      <c r="A6" s="63" t="s">
        <v>507</v>
      </c>
      <c r="B6" s="64" t="s">
        <v>507</v>
      </c>
      <c r="C6" s="64" t="s">
        <v>508</v>
      </c>
      <c r="D6" s="78"/>
    </row>
    <row r="7" spans="1:4" ht="24.95" customHeight="1">
      <c r="A7" s="65" t="s">
        <v>517</v>
      </c>
      <c r="B7" s="62" t="s">
        <v>32</v>
      </c>
      <c r="C7" s="62"/>
      <c r="D7" s="79"/>
    </row>
    <row r="8" spans="1:4" ht="24.95" customHeight="1">
      <c r="A8" s="65" t="s">
        <v>361</v>
      </c>
      <c r="B8" s="62" t="s">
        <v>362</v>
      </c>
      <c r="C8" s="62"/>
      <c r="D8" s="79"/>
    </row>
    <row r="9" spans="1:4" ht="24.95" customHeight="1">
      <c r="A9" s="65" t="s">
        <v>512</v>
      </c>
      <c r="B9" s="62" t="s">
        <v>513</v>
      </c>
      <c r="C9" s="62" t="s">
        <v>514</v>
      </c>
      <c r="D9" s="79"/>
    </row>
    <row r="10" spans="1:4" ht="24.95" customHeight="1">
      <c r="A10" s="65" t="s">
        <v>515</v>
      </c>
      <c r="B10" s="62" t="s">
        <v>516</v>
      </c>
      <c r="C10" s="62"/>
      <c r="D10" s="79"/>
    </row>
    <row r="11" spans="1:4" ht="24.95" customHeight="1">
      <c r="A11" s="65" t="s">
        <v>498</v>
      </c>
      <c r="B11" s="62" t="s">
        <v>499</v>
      </c>
      <c r="C11" s="62" t="s">
        <v>500</v>
      </c>
      <c r="D11" s="79"/>
    </row>
    <row r="12" spans="1:4" ht="24.95" customHeight="1">
      <c r="A12" s="65" t="s">
        <v>501</v>
      </c>
      <c r="B12" s="62" t="s">
        <v>502</v>
      </c>
      <c r="C12" s="62" t="s">
        <v>503</v>
      </c>
      <c r="D12" s="79"/>
    </row>
    <row r="13" spans="1:4" ht="24.95" customHeight="1">
      <c r="A13" s="65" t="s">
        <v>504</v>
      </c>
      <c r="B13" s="62" t="s">
        <v>505</v>
      </c>
      <c r="C13" s="62" t="s">
        <v>506</v>
      </c>
      <c r="D13" s="79"/>
    </row>
    <row r="14" spans="1:4" ht="24.95" customHeight="1">
      <c r="A14" s="66" t="s">
        <v>509</v>
      </c>
      <c r="B14" s="67" t="s">
        <v>510</v>
      </c>
      <c r="C14" s="67" t="s">
        <v>511</v>
      </c>
      <c r="D14" s="80"/>
    </row>
    <row r="15" spans="1:4" ht="24.95" customHeight="1">
      <c r="A15" s="35"/>
      <c r="B15" s="35"/>
      <c r="C15" s="34"/>
    </row>
    <row r="16" spans="1:4" ht="24.95" customHeight="1">
      <c r="A16" s="35"/>
      <c r="B16" s="35"/>
      <c r="C16" s="34"/>
    </row>
    <row r="17" spans="1:3" ht="24.95" customHeight="1">
      <c r="A17" s="35"/>
      <c r="B17" s="35"/>
      <c r="C17" s="34"/>
    </row>
    <row r="18" spans="1:3" ht="24.95" customHeight="1">
      <c r="A18" s="35"/>
      <c r="B18" s="35"/>
      <c r="C18" s="34"/>
    </row>
    <row r="19" spans="1:3" ht="24.95" customHeight="1">
      <c r="A19" s="35"/>
      <c r="B19" s="35"/>
      <c r="C19" s="34"/>
    </row>
    <row r="20" spans="1:3" ht="24.95" customHeight="1">
      <c r="A20" s="35"/>
      <c r="B20" s="35"/>
      <c r="C20" s="34"/>
    </row>
    <row r="21" spans="1:3" ht="24.95" customHeight="1">
      <c r="A21" s="35"/>
      <c r="B21" s="35"/>
      <c r="C21" s="34"/>
    </row>
    <row r="22" spans="1:3" ht="24.95" customHeight="1">
      <c r="A22" s="35"/>
      <c r="B22" s="35"/>
      <c r="C22" s="34"/>
    </row>
    <row r="23" spans="1:3" ht="24.95" customHeight="1">
      <c r="A23" s="35"/>
      <c r="B23" s="35"/>
      <c r="C23" s="34"/>
    </row>
    <row r="24" spans="1:3" ht="24.95" customHeight="1">
      <c r="A24" s="35"/>
      <c r="B24" s="35"/>
      <c r="C24" s="34"/>
    </row>
    <row r="25" spans="1:3" ht="24.95" customHeight="1">
      <c r="A25" s="35"/>
      <c r="B25" s="35"/>
      <c r="C25" s="34"/>
    </row>
  </sheetData>
  <sheetProtection sheet="1" objects="1" scenarios="1" selectLockedCells="1"/>
  <mergeCells count="1">
    <mergeCell ref="A1:C1"/>
  </mergeCells>
  <phoneticPr fontId="7" type="noConversion"/>
  <pageMargins left="0.78740157499999996" right="0.78740157499999996" top="0.984251969" bottom="0.984251969" header="0.5" footer="0.5"/>
  <pageSetup paperSize="9" orientation="portrait" horizontalDpi="4294967292" verticalDpi="4294967292" r:id="rId1"/>
  <headerFooter alignWithMargins="0">
    <oddHeader>&amp;RS. &amp;P/ &amp;N&amp;CForschungszentrum Jülich GmbH
 Messstellenkonfiguration&amp;LIBG-3_TERENO_FB 7-204</oddHeader>
    <oddFooter>&amp;RRevision: 2&amp;CGültig seit: 2013-09-25
gedruckt am: 2016-02-04&amp;LErstellt: Thomas Muckenheim
Geprüft: Thomas Muckenheim
Freigabe: Dr. Ralf Kunkel</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tt9"/>
  <dimension ref="A1:D214"/>
  <sheetViews>
    <sheetView workbookViewId="0">
      <selection activeCell="D19" sqref="D19"/>
    </sheetView>
  </sheetViews>
  <sheetFormatPr baseColWidth="10" defaultRowHeight="15"/>
  <cols>
    <col min="1" max="1" width="21.140625" customWidth="1"/>
    <col min="2" max="2" width="52.7109375" customWidth="1"/>
    <col min="3" max="3" width="81" customWidth="1"/>
    <col min="4" max="4" width="34.85546875" customWidth="1"/>
  </cols>
  <sheetData>
    <row r="1" spans="1:4" s="81" customFormat="1" ht="27" customHeight="1">
      <c r="A1" s="225" t="s">
        <v>912</v>
      </c>
      <c r="B1" s="226"/>
      <c r="C1" s="226"/>
    </row>
    <row r="2" spans="1:4" s="81" customFormat="1" ht="27" customHeight="1">
      <c r="A2" s="54" t="s">
        <v>1006</v>
      </c>
      <c r="B2" s="49"/>
      <c r="C2" s="49"/>
    </row>
    <row r="3" spans="1:4" s="8" customFormat="1" ht="27" customHeight="1">
      <c r="A3" s="60" t="s">
        <v>1013</v>
      </c>
      <c r="B3" s="53"/>
      <c r="C3" s="53"/>
    </row>
    <row r="4" spans="1:4" s="8" customFormat="1" ht="32.1" customHeight="1">
      <c r="A4" s="70"/>
      <c r="B4" s="71"/>
      <c r="C4" s="71"/>
    </row>
    <row r="5" spans="1:4" s="4" customFormat="1" ht="45" customHeight="1">
      <c r="A5" s="55" t="s">
        <v>1009</v>
      </c>
      <c r="B5" s="55" t="s">
        <v>1010</v>
      </c>
      <c r="C5" s="55" t="s">
        <v>997</v>
      </c>
      <c r="D5" s="55" t="s">
        <v>1011</v>
      </c>
    </row>
    <row r="6" spans="1:4" s="13" customFormat="1" ht="24.95" customHeight="1">
      <c r="A6" s="63" t="s">
        <v>611</v>
      </c>
      <c r="B6" s="64" t="s">
        <v>902</v>
      </c>
      <c r="C6" s="64"/>
      <c r="D6" s="78"/>
    </row>
    <row r="7" spans="1:4" ht="24.95" customHeight="1">
      <c r="A7" s="65" t="s">
        <v>875</v>
      </c>
      <c r="B7" s="62" t="s">
        <v>876</v>
      </c>
      <c r="C7" s="62"/>
      <c r="D7" s="79"/>
    </row>
    <row r="8" spans="1:4" ht="24.95" customHeight="1">
      <c r="A8" s="65" t="s">
        <v>889</v>
      </c>
      <c r="B8" s="62" t="s">
        <v>890</v>
      </c>
      <c r="C8" s="62"/>
      <c r="D8" s="79"/>
    </row>
    <row r="9" spans="1:4" ht="24.95" customHeight="1">
      <c r="A9" s="65" t="s">
        <v>877</v>
      </c>
      <c r="B9" s="62" t="s">
        <v>878</v>
      </c>
      <c r="C9" s="62"/>
      <c r="D9" s="79"/>
    </row>
    <row r="10" spans="1:4" ht="24.95" customHeight="1">
      <c r="A10" s="65" t="s">
        <v>879</v>
      </c>
      <c r="B10" s="62" t="s">
        <v>880</v>
      </c>
      <c r="C10" s="62"/>
      <c r="D10" s="79"/>
    </row>
    <row r="11" spans="1:4" ht="24.95" customHeight="1">
      <c r="A11" s="65" t="s">
        <v>887</v>
      </c>
      <c r="B11" s="62" t="s">
        <v>888</v>
      </c>
      <c r="C11" s="62"/>
      <c r="D11" s="79"/>
    </row>
    <row r="12" spans="1:4" ht="24.95" customHeight="1">
      <c r="A12" s="65" t="s">
        <v>891</v>
      </c>
      <c r="B12" s="62" t="s">
        <v>892</v>
      </c>
      <c r="C12" s="62"/>
      <c r="D12" s="79"/>
    </row>
    <row r="13" spans="1:4" ht="24.95" customHeight="1">
      <c r="A13" s="65" t="s">
        <v>893</v>
      </c>
      <c r="B13" s="62" t="s">
        <v>894</v>
      </c>
      <c r="C13" s="62" t="s">
        <v>895</v>
      </c>
      <c r="D13" s="79"/>
    </row>
    <row r="14" spans="1:4" ht="24.95" customHeight="1">
      <c r="A14" s="65" t="s">
        <v>663</v>
      </c>
      <c r="B14" s="62" t="s">
        <v>664</v>
      </c>
      <c r="C14" s="62"/>
      <c r="D14" s="79"/>
    </row>
    <row r="15" spans="1:4" ht="24.95" customHeight="1">
      <c r="A15" s="65" t="s">
        <v>797</v>
      </c>
      <c r="B15" s="62" t="s">
        <v>798</v>
      </c>
      <c r="C15" s="62"/>
      <c r="D15" s="79"/>
    </row>
    <row r="16" spans="1:4" ht="24.95" customHeight="1">
      <c r="A16" s="65" t="s">
        <v>572</v>
      </c>
      <c r="B16" s="62" t="s">
        <v>573</v>
      </c>
      <c r="C16" s="62"/>
      <c r="D16" s="79"/>
    </row>
    <row r="17" spans="1:4" ht="24.95" customHeight="1">
      <c r="A17" s="65" t="s">
        <v>529</v>
      </c>
      <c r="B17" s="62" t="s">
        <v>530</v>
      </c>
      <c r="C17" s="62"/>
      <c r="D17" s="79"/>
    </row>
    <row r="18" spans="1:4" ht="24.95" customHeight="1">
      <c r="A18" s="65" t="s">
        <v>531</v>
      </c>
      <c r="B18" s="62" t="s">
        <v>532</v>
      </c>
      <c r="C18" s="62"/>
      <c r="D18" s="79"/>
    </row>
    <row r="19" spans="1:4" ht="24.95" customHeight="1">
      <c r="A19" s="65" t="s">
        <v>588</v>
      </c>
      <c r="B19" s="62" t="s">
        <v>589</v>
      </c>
      <c r="C19" s="62"/>
      <c r="D19" s="79"/>
    </row>
    <row r="20" spans="1:4" ht="24.95" customHeight="1">
      <c r="A20" s="65" t="s">
        <v>762</v>
      </c>
      <c r="B20" s="62" t="s">
        <v>763</v>
      </c>
      <c r="C20" s="62"/>
      <c r="D20" s="79"/>
    </row>
    <row r="21" spans="1:4" ht="24.95" customHeight="1">
      <c r="A21" s="65" t="s">
        <v>760</v>
      </c>
      <c r="B21" s="62" t="s">
        <v>761</v>
      </c>
      <c r="C21" s="62"/>
      <c r="D21" s="79"/>
    </row>
    <row r="22" spans="1:4" ht="24.95" customHeight="1">
      <c r="A22" s="65" t="s">
        <v>851</v>
      </c>
      <c r="B22" s="62" t="s">
        <v>851</v>
      </c>
      <c r="C22" s="62"/>
      <c r="D22" s="79"/>
    </row>
    <row r="23" spans="1:4" ht="24.95" customHeight="1">
      <c r="A23" s="65" t="s">
        <v>881</v>
      </c>
      <c r="B23" s="62" t="s">
        <v>882</v>
      </c>
      <c r="C23" s="62"/>
      <c r="D23" s="79"/>
    </row>
    <row r="24" spans="1:4" ht="24.95" customHeight="1">
      <c r="A24" s="65" t="s">
        <v>693</v>
      </c>
      <c r="B24" s="62" t="s">
        <v>694</v>
      </c>
      <c r="C24" s="62"/>
      <c r="D24" s="79"/>
    </row>
    <row r="25" spans="1:4" ht="24.95" customHeight="1">
      <c r="A25" s="65" t="s">
        <v>695</v>
      </c>
      <c r="B25" s="62" t="s">
        <v>696</v>
      </c>
      <c r="C25" s="62"/>
      <c r="D25" s="79"/>
    </row>
    <row r="26" spans="1:4" ht="24.95" customHeight="1">
      <c r="A26" s="65" t="s">
        <v>14</v>
      </c>
      <c r="B26" s="62" t="s">
        <v>796</v>
      </c>
      <c r="C26" s="62"/>
      <c r="D26" s="79"/>
    </row>
    <row r="27" spans="1:4" ht="24.95" customHeight="1">
      <c r="A27" s="65" t="s">
        <v>563</v>
      </c>
      <c r="B27" s="62" t="s">
        <v>564</v>
      </c>
      <c r="C27" s="62"/>
      <c r="D27" s="79"/>
    </row>
    <row r="28" spans="1:4" ht="24.95" customHeight="1">
      <c r="A28" s="65" t="s">
        <v>563</v>
      </c>
      <c r="B28" s="62" t="s">
        <v>870</v>
      </c>
      <c r="C28" s="62"/>
      <c r="D28" s="79"/>
    </row>
    <row r="29" spans="1:4" ht="24.95" customHeight="1">
      <c r="A29" s="65" t="s">
        <v>628</v>
      </c>
      <c r="B29" s="62" t="s">
        <v>629</v>
      </c>
      <c r="C29" s="62"/>
      <c r="D29" s="79"/>
    </row>
    <row r="30" spans="1:4" ht="24.95" customHeight="1">
      <c r="A30" s="65" t="s">
        <v>630</v>
      </c>
      <c r="B30" s="62" t="s">
        <v>631</v>
      </c>
      <c r="C30" s="62"/>
      <c r="D30" s="79"/>
    </row>
    <row r="31" spans="1:4" ht="24.95" customHeight="1">
      <c r="A31" s="65" t="s">
        <v>835</v>
      </c>
      <c r="B31" s="62" t="s">
        <v>836</v>
      </c>
      <c r="C31" s="62"/>
      <c r="D31" s="79"/>
    </row>
    <row r="32" spans="1:4" ht="24.95" customHeight="1">
      <c r="A32" s="65" t="s">
        <v>837</v>
      </c>
      <c r="B32" s="62" t="s">
        <v>838</v>
      </c>
      <c r="C32" s="62"/>
      <c r="D32" s="79"/>
    </row>
    <row r="33" spans="1:4" ht="24.95" customHeight="1">
      <c r="A33" s="65" t="s">
        <v>772</v>
      </c>
      <c r="B33" s="62" t="s">
        <v>773</v>
      </c>
      <c r="C33" s="62"/>
      <c r="D33" s="79"/>
    </row>
    <row r="34" spans="1:4" ht="24.95" customHeight="1">
      <c r="A34" s="65" t="s">
        <v>620</v>
      </c>
      <c r="B34" s="62" t="s">
        <v>621</v>
      </c>
      <c r="C34" s="62"/>
      <c r="D34" s="79"/>
    </row>
    <row r="35" spans="1:4" ht="24.95" customHeight="1">
      <c r="A35" s="65" t="s">
        <v>794</v>
      </c>
      <c r="B35" s="62" t="s">
        <v>795</v>
      </c>
      <c r="C35" s="62"/>
      <c r="D35" s="79"/>
    </row>
    <row r="36" spans="1:4" ht="24.95" customHeight="1">
      <c r="A36" s="65" t="s">
        <v>786</v>
      </c>
      <c r="B36" s="62" t="s">
        <v>787</v>
      </c>
      <c r="C36" s="62"/>
      <c r="D36" s="79"/>
    </row>
    <row r="37" spans="1:4" ht="24.95" customHeight="1">
      <c r="A37" s="65" t="s">
        <v>642</v>
      </c>
      <c r="B37" s="62" t="s">
        <v>643</v>
      </c>
      <c r="C37" s="62"/>
      <c r="D37" s="79"/>
    </row>
    <row r="38" spans="1:4" ht="24.95" customHeight="1">
      <c r="A38" s="65" t="s">
        <v>714</v>
      </c>
      <c r="B38" s="62" t="s">
        <v>715</v>
      </c>
      <c r="C38" s="62"/>
      <c r="D38" s="79"/>
    </row>
    <row r="39" spans="1:4" ht="24.95" customHeight="1">
      <c r="A39" s="65" t="s">
        <v>833</v>
      </c>
      <c r="B39" s="62" t="s">
        <v>834</v>
      </c>
      <c r="C39" s="62"/>
      <c r="D39" s="79"/>
    </row>
    <row r="40" spans="1:4" ht="24.95" customHeight="1">
      <c r="A40" s="65" t="s">
        <v>644</v>
      </c>
      <c r="B40" s="62" t="s">
        <v>645</v>
      </c>
      <c r="C40" s="62"/>
      <c r="D40" s="79"/>
    </row>
    <row r="41" spans="1:4" ht="24.95" customHeight="1">
      <c r="A41" s="65" t="s">
        <v>557</v>
      </c>
      <c r="B41" s="62" t="s">
        <v>558</v>
      </c>
      <c r="C41" s="62"/>
      <c r="D41" s="79"/>
    </row>
    <row r="42" spans="1:4" ht="24.95" customHeight="1">
      <c r="A42" s="65" t="s">
        <v>555</v>
      </c>
      <c r="B42" s="62" t="s">
        <v>556</v>
      </c>
      <c r="C42" s="62"/>
      <c r="D42" s="79"/>
    </row>
    <row r="43" spans="1:4" ht="24.95" customHeight="1">
      <c r="A43" s="65" t="s">
        <v>318</v>
      </c>
      <c r="B43" s="62" t="s">
        <v>615</v>
      </c>
      <c r="C43" s="62"/>
      <c r="D43" s="79"/>
    </row>
    <row r="44" spans="1:4" ht="24.95" customHeight="1">
      <c r="A44" s="65" t="s">
        <v>712</v>
      </c>
      <c r="B44" s="62" t="s">
        <v>713</v>
      </c>
      <c r="C44" s="62"/>
      <c r="D44" s="79"/>
    </row>
    <row r="45" spans="1:4" ht="24.95" customHeight="1">
      <c r="A45" s="65" t="s">
        <v>852</v>
      </c>
      <c r="B45" s="62" t="s">
        <v>853</v>
      </c>
      <c r="C45" s="62"/>
      <c r="D45" s="79"/>
    </row>
    <row r="46" spans="1:4" ht="24.95" customHeight="1">
      <c r="A46" s="65" t="s">
        <v>3</v>
      </c>
      <c r="B46" s="62" t="s">
        <v>522</v>
      </c>
      <c r="C46" s="62"/>
      <c r="D46" s="79"/>
    </row>
    <row r="47" spans="1:4" ht="24.95" customHeight="1">
      <c r="A47" s="65" t="s">
        <v>603</v>
      </c>
      <c r="B47" s="62" t="s">
        <v>604</v>
      </c>
      <c r="C47" s="62"/>
      <c r="D47" s="79"/>
    </row>
    <row r="48" spans="1:4" ht="24.95" customHeight="1">
      <c r="A48" s="65" t="s">
        <v>605</v>
      </c>
      <c r="B48" s="62" t="s">
        <v>606</v>
      </c>
      <c r="C48" s="62"/>
      <c r="D48" s="79"/>
    </row>
    <row r="49" spans="1:4" ht="24.95" customHeight="1">
      <c r="A49" s="65" t="s">
        <v>527</v>
      </c>
      <c r="B49" s="62" t="s">
        <v>528</v>
      </c>
      <c r="C49" s="62"/>
      <c r="D49" s="79"/>
    </row>
    <row r="50" spans="1:4" ht="24.95" customHeight="1">
      <c r="A50" s="65" t="s">
        <v>653</v>
      </c>
      <c r="B50" s="62" t="s">
        <v>654</v>
      </c>
      <c r="C50" s="62"/>
      <c r="D50" s="79"/>
    </row>
    <row r="51" spans="1:4" ht="24.95" customHeight="1">
      <c r="A51" s="65" t="s">
        <v>68</v>
      </c>
      <c r="B51" s="62" t="s">
        <v>650</v>
      </c>
      <c r="C51" s="62"/>
      <c r="D51" s="79"/>
    </row>
    <row r="52" spans="1:4" ht="24.95" customHeight="1">
      <c r="A52" s="65" t="s">
        <v>547</v>
      </c>
      <c r="B52" s="62" t="s">
        <v>548</v>
      </c>
      <c r="C52" s="62"/>
      <c r="D52" s="79"/>
    </row>
    <row r="53" spans="1:4" ht="24.95" customHeight="1">
      <c r="A53" s="65" t="s">
        <v>574</v>
      </c>
      <c r="B53" s="62" t="s">
        <v>575</v>
      </c>
      <c r="C53" s="62"/>
      <c r="D53" s="79"/>
    </row>
    <row r="54" spans="1:4" ht="24.95" customHeight="1">
      <c r="A54" s="65" t="s">
        <v>831</v>
      </c>
      <c r="B54" s="62" t="s">
        <v>832</v>
      </c>
      <c r="C54" s="62"/>
      <c r="D54" s="79"/>
    </row>
    <row r="55" spans="1:4" ht="24.95" customHeight="1">
      <c r="A55" s="65" t="s">
        <v>578</v>
      </c>
      <c r="B55" s="62" t="s">
        <v>579</v>
      </c>
      <c r="C55" s="62"/>
      <c r="D55" s="79"/>
    </row>
    <row r="56" spans="1:4" ht="24.95" customHeight="1">
      <c r="A56" s="65" t="s">
        <v>718</v>
      </c>
      <c r="B56" s="62" t="s">
        <v>719</v>
      </c>
      <c r="C56" s="62"/>
      <c r="D56" s="79"/>
    </row>
    <row r="57" spans="1:4" ht="24.95" customHeight="1">
      <c r="A57" s="65" t="s">
        <v>885</v>
      </c>
      <c r="B57" s="62" t="s">
        <v>886</v>
      </c>
      <c r="C57" s="62"/>
      <c r="D57" s="79"/>
    </row>
    <row r="58" spans="1:4" ht="24.95" customHeight="1">
      <c r="A58" s="65" t="s">
        <v>843</v>
      </c>
      <c r="B58" s="62" t="s">
        <v>844</v>
      </c>
      <c r="C58" s="62"/>
      <c r="D58" s="79"/>
    </row>
    <row r="59" spans="1:4" ht="24.95" customHeight="1">
      <c r="A59" s="65" t="s">
        <v>679</v>
      </c>
      <c r="B59" s="62" t="s">
        <v>680</v>
      </c>
      <c r="C59" s="62"/>
      <c r="D59" s="79"/>
    </row>
    <row r="60" spans="1:4" ht="24.95" customHeight="1">
      <c r="A60" s="65" t="s">
        <v>726</v>
      </c>
      <c r="B60" s="62" t="s">
        <v>727</v>
      </c>
      <c r="C60" s="62"/>
      <c r="D60" s="79"/>
    </row>
    <row r="61" spans="1:4" ht="24.95" customHeight="1">
      <c r="A61" s="65" t="s">
        <v>845</v>
      </c>
      <c r="B61" s="62" t="s">
        <v>846</v>
      </c>
      <c r="C61" s="62"/>
      <c r="D61" s="79"/>
    </row>
    <row r="62" spans="1:4" ht="24.95" customHeight="1">
      <c r="A62" s="65" t="s">
        <v>847</v>
      </c>
      <c r="B62" s="62" t="s">
        <v>848</v>
      </c>
      <c r="C62" s="62"/>
      <c r="D62" s="79"/>
    </row>
    <row r="63" spans="1:4" ht="24.95" customHeight="1">
      <c r="A63" s="65" t="s">
        <v>671</v>
      </c>
      <c r="B63" s="62" t="s">
        <v>672</v>
      </c>
      <c r="C63" s="62"/>
      <c r="D63" s="79"/>
    </row>
    <row r="64" spans="1:4" ht="24.95" customHeight="1">
      <c r="A64" s="65" t="s">
        <v>677</v>
      </c>
      <c r="B64" s="62" t="s">
        <v>678</v>
      </c>
      <c r="C64" s="62"/>
      <c r="D64" s="79"/>
    </row>
    <row r="65" spans="1:4" ht="24.95" customHeight="1">
      <c r="A65" s="65" t="s">
        <v>626</v>
      </c>
      <c r="B65" s="62" t="s">
        <v>627</v>
      </c>
      <c r="C65" s="62"/>
      <c r="D65" s="79"/>
    </row>
    <row r="66" spans="1:4" ht="24.95" customHeight="1">
      <c r="A66" s="65" t="s">
        <v>533</v>
      </c>
      <c r="B66" s="62" t="s">
        <v>534</v>
      </c>
      <c r="C66" s="62"/>
      <c r="D66" s="79"/>
    </row>
    <row r="67" spans="1:4" ht="24.95" customHeight="1">
      <c r="A67" s="65" t="s">
        <v>646</v>
      </c>
      <c r="B67" s="62" t="s">
        <v>647</v>
      </c>
      <c r="C67" s="62"/>
      <c r="D67" s="79"/>
    </row>
    <row r="68" spans="1:4" ht="24.95" customHeight="1">
      <c r="A68" s="65" t="s">
        <v>541</v>
      </c>
      <c r="B68" s="62" t="s">
        <v>542</v>
      </c>
      <c r="C68" s="62"/>
      <c r="D68" s="79"/>
    </row>
    <row r="69" spans="1:4" ht="24.95" customHeight="1">
      <c r="A69" s="65" t="s">
        <v>896</v>
      </c>
      <c r="B69" s="62" t="s">
        <v>897</v>
      </c>
      <c r="C69" s="62"/>
      <c r="D69" s="79"/>
    </row>
    <row r="70" spans="1:4" ht="24.95" customHeight="1">
      <c r="A70" s="65" t="s">
        <v>900</v>
      </c>
      <c r="B70" s="62" t="s">
        <v>901</v>
      </c>
      <c r="C70" s="62"/>
      <c r="D70" s="79"/>
    </row>
    <row r="71" spans="1:4" ht="24.95" customHeight="1">
      <c r="A71" s="65" t="s">
        <v>898</v>
      </c>
      <c r="B71" s="62" t="s">
        <v>899</v>
      </c>
      <c r="C71" s="62"/>
      <c r="D71" s="79"/>
    </row>
    <row r="72" spans="1:4" ht="24.95" customHeight="1">
      <c r="A72" s="65" t="s">
        <v>613</v>
      </c>
      <c r="B72" s="62" t="s">
        <v>614</v>
      </c>
      <c r="C72" s="62"/>
      <c r="D72" s="79"/>
    </row>
    <row r="73" spans="1:4" ht="24.95" customHeight="1">
      <c r="A73" s="65" t="s">
        <v>702</v>
      </c>
      <c r="B73" s="62" t="s">
        <v>703</v>
      </c>
      <c r="C73" s="62"/>
      <c r="D73" s="79"/>
    </row>
    <row r="74" spans="1:4" ht="24.95" customHeight="1">
      <c r="A74" s="65" t="s">
        <v>543</v>
      </c>
      <c r="B74" s="62" t="s">
        <v>544</v>
      </c>
      <c r="C74" s="62"/>
      <c r="D74" s="79"/>
    </row>
    <row r="75" spans="1:4" ht="24.95" customHeight="1">
      <c r="A75" s="65" t="s">
        <v>856</v>
      </c>
      <c r="B75" s="62" t="s">
        <v>857</v>
      </c>
      <c r="C75" s="62"/>
      <c r="D75" s="79"/>
    </row>
    <row r="76" spans="1:4" ht="24.95" customHeight="1">
      <c r="A76" s="65" t="s">
        <v>624</v>
      </c>
      <c r="B76" s="62" t="s">
        <v>625</v>
      </c>
      <c r="C76" s="62"/>
      <c r="D76" s="79"/>
    </row>
    <row r="77" spans="1:4" ht="24.95" customHeight="1">
      <c r="A77" s="65" t="s">
        <v>580</v>
      </c>
      <c r="B77" s="62" t="s">
        <v>581</v>
      </c>
      <c r="C77" s="62"/>
      <c r="D77" s="79"/>
    </row>
    <row r="78" spans="1:4" ht="24.95" customHeight="1">
      <c r="A78" s="65" t="s">
        <v>565</v>
      </c>
      <c r="B78" s="62" t="s">
        <v>566</v>
      </c>
      <c r="C78" s="62"/>
      <c r="D78" s="79"/>
    </row>
    <row r="79" spans="1:4" ht="24.95" customHeight="1">
      <c r="A79" s="65" t="s">
        <v>632</v>
      </c>
      <c r="B79" s="62" t="s">
        <v>633</v>
      </c>
      <c r="C79" s="62"/>
      <c r="D79" s="79"/>
    </row>
    <row r="80" spans="1:4" ht="24.95" customHeight="1">
      <c r="A80" s="65" t="s">
        <v>689</v>
      </c>
      <c r="B80" s="62" t="s">
        <v>690</v>
      </c>
      <c r="C80" s="62"/>
      <c r="D80" s="79"/>
    </row>
    <row r="81" spans="1:4" ht="24.95" customHeight="1">
      <c r="A81" s="65" t="s">
        <v>590</v>
      </c>
      <c r="B81" s="62" t="s">
        <v>591</v>
      </c>
      <c r="C81" s="62"/>
      <c r="D81" s="79"/>
    </row>
    <row r="82" spans="1:4" ht="24.95" customHeight="1">
      <c r="A82" s="65" t="s">
        <v>545</v>
      </c>
      <c r="B82" s="62" t="s">
        <v>546</v>
      </c>
      <c r="C82" s="62"/>
      <c r="D82" s="79"/>
    </row>
    <row r="83" spans="1:4" ht="24.95" customHeight="1">
      <c r="A83" s="65" t="s">
        <v>622</v>
      </c>
      <c r="B83" s="62" t="s">
        <v>623</v>
      </c>
      <c r="C83" s="62"/>
      <c r="D83" s="79"/>
    </row>
    <row r="84" spans="1:4" ht="24.95" customHeight="1">
      <c r="A84" s="65" t="s">
        <v>648</v>
      </c>
      <c r="B84" s="62" t="s">
        <v>649</v>
      </c>
      <c r="C84" s="62"/>
      <c r="D84" s="79"/>
    </row>
    <row r="85" spans="1:4" ht="24.95" customHeight="1">
      <c r="A85" s="65" t="s">
        <v>829</v>
      </c>
      <c r="B85" s="62" t="s">
        <v>830</v>
      </c>
      <c r="C85" s="62"/>
      <c r="D85" s="79"/>
    </row>
    <row r="86" spans="1:4" ht="24.95" customHeight="1">
      <c r="A86" s="65" t="s">
        <v>867</v>
      </c>
      <c r="B86" s="62" t="s">
        <v>868</v>
      </c>
      <c r="C86" s="62"/>
      <c r="D86" s="79"/>
    </row>
    <row r="87" spans="1:4" ht="24.95" customHeight="1">
      <c r="A87" s="65" t="s">
        <v>827</v>
      </c>
      <c r="B87" s="62" t="s">
        <v>828</v>
      </c>
      <c r="C87" s="62"/>
      <c r="D87" s="79"/>
    </row>
    <row r="88" spans="1:4" ht="24.95" customHeight="1">
      <c r="A88" s="65" t="s">
        <v>559</v>
      </c>
      <c r="B88" s="62" t="s">
        <v>560</v>
      </c>
      <c r="C88" s="62"/>
      <c r="D88" s="79"/>
    </row>
    <row r="89" spans="1:4" ht="24.95" customHeight="1">
      <c r="A89" s="65" t="s">
        <v>576</v>
      </c>
      <c r="B89" s="62" t="s">
        <v>577</v>
      </c>
      <c r="C89" s="62"/>
      <c r="D89" s="79"/>
    </row>
    <row r="90" spans="1:4" ht="24.95" customHeight="1">
      <c r="A90" s="65" t="s">
        <v>651</v>
      </c>
      <c r="B90" s="62" t="s">
        <v>652</v>
      </c>
      <c r="C90" s="62"/>
      <c r="D90" s="79"/>
    </row>
    <row r="91" spans="1:4" ht="24.95" customHeight="1">
      <c r="A91" s="65" t="s">
        <v>659</v>
      </c>
      <c r="B91" s="62" t="s">
        <v>660</v>
      </c>
      <c r="C91" s="62"/>
      <c r="D91" s="79"/>
    </row>
    <row r="92" spans="1:4" ht="24.95" customHeight="1">
      <c r="A92" s="65" t="s">
        <v>549</v>
      </c>
      <c r="B92" s="62" t="s">
        <v>550</v>
      </c>
      <c r="C92" s="62"/>
      <c r="D92" s="79"/>
    </row>
    <row r="93" spans="1:4" ht="24.95" customHeight="1">
      <c r="A93" s="65" t="s">
        <v>691</v>
      </c>
      <c r="B93" s="62" t="s">
        <v>692</v>
      </c>
      <c r="C93" s="62"/>
      <c r="D93" s="79"/>
    </row>
    <row r="94" spans="1:4" ht="24.95" customHeight="1">
      <c r="A94" s="65" t="s">
        <v>567</v>
      </c>
      <c r="B94" s="62" t="s">
        <v>568</v>
      </c>
      <c r="C94" s="62"/>
      <c r="D94" s="79"/>
    </row>
    <row r="95" spans="1:4" ht="24.95" customHeight="1">
      <c r="A95" s="65" t="s">
        <v>634</v>
      </c>
      <c r="B95" s="62" t="s">
        <v>635</v>
      </c>
      <c r="C95" s="62"/>
      <c r="D95" s="79"/>
    </row>
    <row r="96" spans="1:4" ht="24.95" customHeight="1">
      <c r="A96" s="65" t="s">
        <v>636</v>
      </c>
      <c r="B96" s="62" t="s">
        <v>637</v>
      </c>
      <c r="C96" s="62"/>
      <c r="D96" s="79"/>
    </row>
    <row r="97" spans="1:4" ht="24.95" customHeight="1">
      <c r="A97" s="65" t="s">
        <v>68</v>
      </c>
      <c r="B97" s="62" t="s">
        <v>602</v>
      </c>
      <c r="C97" s="62"/>
      <c r="D97" s="79"/>
    </row>
    <row r="98" spans="1:4" ht="24.95" customHeight="1">
      <c r="A98" s="65" t="s">
        <v>600</v>
      </c>
      <c r="B98" s="62" t="s">
        <v>601</v>
      </c>
      <c r="C98" s="62"/>
      <c r="D98" s="79"/>
    </row>
    <row r="99" spans="1:4" ht="24.95" customHeight="1">
      <c r="A99" s="65" t="s">
        <v>638</v>
      </c>
      <c r="B99" s="62" t="s">
        <v>639</v>
      </c>
      <c r="C99" s="62"/>
      <c r="D99" s="79"/>
    </row>
    <row r="100" spans="1:4" ht="24.95" customHeight="1">
      <c r="A100" s="65" t="s">
        <v>586</v>
      </c>
      <c r="B100" s="62" t="s">
        <v>587</v>
      </c>
      <c r="C100" s="62"/>
      <c r="D100" s="79"/>
    </row>
    <row r="101" spans="1:4" ht="24.95" customHeight="1">
      <c r="A101" s="65" t="s">
        <v>744</v>
      </c>
      <c r="B101" s="62" t="s">
        <v>745</v>
      </c>
      <c r="C101" s="62"/>
      <c r="D101" s="79"/>
    </row>
    <row r="102" spans="1:4" ht="24.95" customHeight="1">
      <c r="A102" s="65" t="s">
        <v>584</v>
      </c>
      <c r="B102" s="62" t="s">
        <v>585</v>
      </c>
      <c r="C102" s="62"/>
      <c r="D102" s="79"/>
    </row>
    <row r="103" spans="1:4" ht="24.95" customHeight="1">
      <c r="A103" s="65" t="s">
        <v>728</v>
      </c>
      <c r="B103" s="62" t="s">
        <v>729</v>
      </c>
      <c r="C103" s="62"/>
      <c r="D103" s="79"/>
    </row>
    <row r="104" spans="1:4" ht="24.95" customHeight="1">
      <c r="A104" s="65" t="s">
        <v>730</v>
      </c>
      <c r="B104" s="62" t="s">
        <v>731</v>
      </c>
      <c r="C104" s="62"/>
      <c r="D104" s="79"/>
    </row>
    <row r="105" spans="1:4" ht="24.95" customHeight="1">
      <c r="A105" s="65" t="s">
        <v>675</v>
      </c>
      <c r="B105" s="62" t="s">
        <v>676</v>
      </c>
      <c r="C105" s="62"/>
      <c r="D105" s="79"/>
    </row>
    <row r="106" spans="1:4" ht="24.95" customHeight="1">
      <c r="A106" s="65" t="s">
        <v>807</v>
      </c>
      <c r="B106" s="62" t="s">
        <v>808</v>
      </c>
      <c r="C106" s="62"/>
      <c r="D106" s="79"/>
    </row>
    <row r="107" spans="1:4" ht="24.95" customHeight="1">
      <c r="A107" s="65" t="s">
        <v>657</v>
      </c>
      <c r="B107" s="62" t="s">
        <v>658</v>
      </c>
      <c r="C107" s="62"/>
      <c r="D107" s="79"/>
    </row>
    <row r="108" spans="1:4" ht="24.95" customHeight="1">
      <c r="A108" s="65" t="s">
        <v>854</v>
      </c>
      <c r="B108" s="62" t="s">
        <v>855</v>
      </c>
      <c r="C108" s="62"/>
      <c r="D108" s="79"/>
    </row>
    <row r="109" spans="1:4" ht="24.95" customHeight="1">
      <c r="A109" s="65" t="s">
        <v>570</v>
      </c>
      <c r="B109" s="62" t="s">
        <v>571</v>
      </c>
      <c r="C109" s="62"/>
      <c r="D109" s="79"/>
    </row>
    <row r="110" spans="1:4" ht="24.95" customHeight="1">
      <c r="A110" s="65" t="s">
        <v>523</v>
      </c>
      <c r="B110" s="62" t="s">
        <v>524</v>
      </c>
      <c r="C110" s="62"/>
      <c r="D110" s="79"/>
    </row>
    <row r="111" spans="1:4" ht="24.95" customHeight="1">
      <c r="A111" s="65" t="s">
        <v>710</v>
      </c>
      <c r="B111" s="62" t="s">
        <v>711</v>
      </c>
      <c r="C111" s="62"/>
      <c r="D111" s="79"/>
    </row>
    <row r="112" spans="1:4" ht="24.95" customHeight="1">
      <c r="A112" s="65" t="s">
        <v>598</v>
      </c>
      <c r="B112" s="62" t="s">
        <v>599</v>
      </c>
      <c r="C112" s="62"/>
      <c r="D112" s="79"/>
    </row>
    <row r="113" spans="1:4" ht="24.95" customHeight="1">
      <c r="A113" s="65" t="s">
        <v>669</v>
      </c>
      <c r="B113" s="62" t="s">
        <v>670</v>
      </c>
      <c r="C113" s="62"/>
      <c r="D113" s="79"/>
    </row>
    <row r="114" spans="1:4" ht="24.95" customHeight="1">
      <c r="A114" s="65" t="s">
        <v>748</v>
      </c>
      <c r="B114" s="62" t="s">
        <v>749</v>
      </c>
      <c r="C114" s="62"/>
      <c r="D114" s="79"/>
    </row>
    <row r="115" spans="1:4" ht="24.95" customHeight="1">
      <c r="A115" s="65" t="s">
        <v>746</v>
      </c>
      <c r="B115" s="62" t="s">
        <v>747</v>
      </c>
      <c r="C115" s="62"/>
      <c r="D115" s="79"/>
    </row>
    <row r="116" spans="1:4" ht="24.95" customHeight="1">
      <c r="A116" s="65" t="s">
        <v>582</v>
      </c>
      <c r="B116" s="62" t="s">
        <v>583</v>
      </c>
      <c r="C116" s="62"/>
      <c r="D116" s="79"/>
    </row>
    <row r="117" spans="1:4" ht="24.95" customHeight="1">
      <c r="A117" s="65" t="s">
        <v>871</v>
      </c>
      <c r="B117" s="62" t="s">
        <v>872</v>
      </c>
      <c r="C117" s="62"/>
      <c r="D117" s="79"/>
    </row>
    <row r="118" spans="1:4" ht="24.95" customHeight="1">
      <c r="A118" s="65" t="s">
        <v>683</v>
      </c>
      <c r="B118" s="62" t="s">
        <v>684</v>
      </c>
      <c r="C118" s="62"/>
      <c r="D118" s="79"/>
    </row>
    <row r="119" spans="1:4" ht="24.95" customHeight="1">
      <c r="A119" s="65" t="s">
        <v>823</v>
      </c>
      <c r="B119" s="62" t="s">
        <v>824</v>
      </c>
      <c r="C119" s="62"/>
      <c r="D119" s="79"/>
    </row>
    <row r="120" spans="1:4" ht="24.95" customHeight="1">
      <c r="A120" s="65" t="s">
        <v>825</v>
      </c>
      <c r="B120" s="62" t="s">
        <v>826</v>
      </c>
      <c r="C120" s="62"/>
      <c r="D120" s="79"/>
    </row>
    <row r="121" spans="1:4" ht="24.95" customHeight="1">
      <c r="A121" s="65" t="s">
        <v>720</v>
      </c>
      <c r="B121" s="62" t="s">
        <v>721</v>
      </c>
      <c r="C121" s="62"/>
      <c r="D121" s="79"/>
    </row>
    <row r="122" spans="1:4" ht="24.95" customHeight="1">
      <c r="A122" s="65" t="s">
        <v>673</v>
      </c>
      <c r="B122" s="62" t="s">
        <v>674</v>
      </c>
      <c r="C122" s="62"/>
      <c r="D122" s="79"/>
    </row>
    <row r="123" spans="1:4" ht="24.95" customHeight="1">
      <c r="A123" s="65" t="s">
        <v>685</v>
      </c>
      <c r="B123" s="62" t="s">
        <v>686</v>
      </c>
      <c r="C123" s="62"/>
      <c r="D123" s="79"/>
    </row>
    <row r="124" spans="1:4" ht="24.95" customHeight="1">
      <c r="A124" s="65" t="s">
        <v>708</v>
      </c>
      <c r="B124" s="62" t="s">
        <v>709</v>
      </c>
      <c r="C124" s="62"/>
      <c r="D124" s="79"/>
    </row>
    <row r="125" spans="1:4" ht="24.95" customHeight="1">
      <c r="A125" s="65" t="s">
        <v>655</v>
      </c>
      <c r="B125" s="62" t="s">
        <v>656</v>
      </c>
      <c r="C125" s="62"/>
      <c r="D125" s="79"/>
    </row>
    <row r="126" spans="1:4" ht="24.95" customHeight="1">
      <c r="A126" s="65" t="s">
        <v>1</v>
      </c>
      <c r="B126" s="62" t="s">
        <v>569</v>
      </c>
      <c r="C126" s="62"/>
      <c r="D126" s="79"/>
    </row>
    <row r="127" spans="1:4" ht="24.95" customHeight="1">
      <c r="A127" s="65" t="s">
        <v>858</v>
      </c>
      <c r="B127" s="62" t="s">
        <v>859</v>
      </c>
      <c r="C127" s="62"/>
      <c r="D127" s="79"/>
    </row>
    <row r="128" spans="1:4" ht="24.95" customHeight="1">
      <c r="A128" s="65" t="s">
        <v>640</v>
      </c>
      <c r="B128" s="62" t="s">
        <v>641</v>
      </c>
      <c r="C128" s="62"/>
      <c r="D128" s="79"/>
    </row>
    <row r="129" spans="1:4" ht="24.95" customHeight="1">
      <c r="A129" s="65" t="s">
        <v>883</v>
      </c>
      <c r="B129" s="62" t="s">
        <v>884</v>
      </c>
      <c r="C129" s="62"/>
      <c r="D129" s="79"/>
    </row>
    <row r="130" spans="1:4" ht="24.95" customHeight="1">
      <c r="A130" s="65" t="s">
        <v>865</v>
      </c>
      <c r="B130" s="62" t="s">
        <v>866</v>
      </c>
      <c r="C130" s="62"/>
      <c r="D130" s="79"/>
    </row>
    <row r="131" spans="1:4" ht="24.95" customHeight="1">
      <c r="A131" s="65" t="s">
        <v>661</v>
      </c>
      <c r="B131" s="62" t="s">
        <v>662</v>
      </c>
      <c r="C131" s="62"/>
      <c r="D131" s="79"/>
    </row>
    <row r="132" spans="1:4" ht="24.95" customHeight="1">
      <c r="A132" s="65" t="s">
        <v>873</v>
      </c>
      <c r="B132" s="62" t="s">
        <v>874</v>
      </c>
      <c r="C132" s="62"/>
      <c r="D132" s="79"/>
    </row>
    <row r="133" spans="1:4" ht="24.95" customHeight="1">
      <c r="A133" s="65" t="s">
        <v>819</v>
      </c>
      <c r="B133" s="62" t="s">
        <v>820</v>
      </c>
      <c r="C133" s="62"/>
      <c r="D133" s="79"/>
    </row>
    <row r="134" spans="1:4" ht="24.95" customHeight="1">
      <c r="A134" s="65" t="s">
        <v>821</v>
      </c>
      <c r="B134" s="62" t="s">
        <v>822</v>
      </c>
      <c r="C134" s="62"/>
      <c r="D134" s="79"/>
    </row>
    <row r="135" spans="1:4" ht="24.95" customHeight="1">
      <c r="A135" s="65" t="s">
        <v>750</v>
      </c>
      <c r="B135" s="62" t="s">
        <v>751</v>
      </c>
      <c r="C135" s="62"/>
      <c r="D135" s="79"/>
    </row>
    <row r="136" spans="1:4" ht="24.95" customHeight="1">
      <c r="A136" s="65" t="s">
        <v>609</v>
      </c>
      <c r="B136" s="62" t="s">
        <v>610</v>
      </c>
      <c r="C136" s="62"/>
      <c r="D136" s="79"/>
    </row>
    <row r="137" spans="1:4" ht="24.95" customHeight="1">
      <c r="A137" s="65" t="s">
        <v>811</v>
      </c>
      <c r="B137" s="62" t="s">
        <v>812</v>
      </c>
      <c r="C137" s="62"/>
      <c r="D137" s="79"/>
    </row>
    <row r="138" spans="1:4" ht="24.95" customHeight="1">
      <c r="A138" s="65" t="s">
        <v>611</v>
      </c>
      <c r="B138" s="62" t="s">
        <v>612</v>
      </c>
      <c r="C138" s="62"/>
      <c r="D138" s="79"/>
    </row>
    <row r="139" spans="1:4" ht="24.95" customHeight="1">
      <c r="A139" s="65" t="s">
        <v>618</v>
      </c>
      <c r="B139" s="62" t="s">
        <v>619</v>
      </c>
      <c r="C139" s="62"/>
      <c r="D139" s="79"/>
    </row>
    <row r="140" spans="1:4" ht="24.95" customHeight="1">
      <c r="A140" s="65" t="s">
        <v>849</v>
      </c>
      <c r="B140" s="62" t="s">
        <v>850</v>
      </c>
      <c r="C140" s="62"/>
      <c r="D140" s="79"/>
    </row>
    <row r="141" spans="1:4" ht="24.95" customHeight="1">
      <c r="A141" s="65" t="s">
        <v>774</v>
      </c>
      <c r="B141" s="62" t="s">
        <v>775</v>
      </c>
      <c r="C141" s="62"/>
      <c r="D141" s="79"/>
    </row>
    <row r="142" spans="1:4" ht="24.95" customHeight="1">
      <c r="A142" s="65" t="s">
        <v>776</v>
      </c>
      <c r="B142" s="62" t="s">
        <v>777</v>
      </c>
      <c r="C142" s="62"/>
      <c r="D142" s="79"/>
    </row>
    <row r="143" spans="1:4" ht="24.95" customHeight="1">
      <c r="A143" s="65" t="s">
        <v>778</v>
      </c>
      <c r="B143" s="62" t="s">
        <v>779</v>
      </c>
      <c r="C143" s="62"/>
      <c r="D143" s="79"/>
    </row>
    <row r="144" spans="1:4" ht="24.95" customHeight="1">
      <c r="A144" s="65" t="s">
        <v>780</v>
      </c>
      <c r="B144" s="62" t="s">
        <v>781</v>
      </c>
      <c r="C144" s="62"/>
      <c r="D144" s="79"/>
    </row>
    <row r="145" spans="1:4" ht="24.95" customHeight="1">
      <c r="A145" s="65" t="s">
        <v>665</v>
      </c>
      <c r="B145" s="62" t="s">
        <v>666</v>
      </c>
      <c r="C145" s="62"/>
      <c r="D145" s="79"/>
    </row>
    <row r="146" spans="1:4" ht="24.95" customHeight="1">
      <c r="A146" s="65" t="s">
        <v>722</v>
      </c>
      <c r="B146" s="62" t="s">
        <v>723</v>
      </c>
      <c r="C146" s="62"/>
      <c r="D146" s="79"/>
    </row>
    <row r="147" spans="1:4" ht="24.95" customHeight="1">
      <c r="A147" s="65" t="s">
        <v>724</v>
      </c>
      <c r="B147" s="62" t="s">
        <v>725</v>
      </c>
      <c r="C147" s="62"/>
      <c r="D147" s="79"/>
    </row>
    <row r="148" spans="1:4" ht="24.95" customHeight="1">
      <c r="A148" s="65" t="s">
        <v>790</v>
      </c>
      <c r="B148" s="62" t="s">
        <v>791</v>
      </c>
      <c r="C148" s="62"/>
      <c r="D148" s="79"/>
    </row>
    <row r="149" spans="1:4" ht="24.95" customHeight="1">
      <c r="A149" s="65" t="s">
        <v>792</v>
      </c>
      <c r="B149" s="62" t="s">
        <v>793</v>
      </c>
      <c r="C149" s="62"/>
      <c r="D149" s="79"/>
    </row>
    <row r="150" spans="1:4" ht="24.95" customHeight="1">
      <c r="A150" s="65" t="s">
        <v>817</v>
      </c>
      <c r="B150" s="62" t="s">
        <v>818</v>
      </c>
      <c r="C150" s="62"/>
      <c r="D150" s="79"/>
    </row>
    <row r="151" spans="1:4" ht="24.95" customHeight="1">
      <c r="A151" s="65" t="s">
        <v>752</v>
      </c>
      <c r="B151" s="62" t="s">
        <v>753</v>
      </c>
      <c r="C151" s="62"/>
      <c r="D151" s="79"/>
    </row>
    <row r="152" spans="1:4" ht="24.95" customHeight="1">
      <c r="A152" s="65" t="s">
        <v>903</v>
      </c>
      <c r="B152" s="62" t="s">
        <v>904</v>
      </c>
      <c r="C152" s="62"/>
      <c r="D152" s="79"/>
    </row>
    <row r="153" spans="1:4" ht="24.95" customHeight="1">
      <c r="A153" s="65" t="s">
        <v>561</v>
      </c>
      <c r="B153" s="62" t="s">
        <v>562</v>
      </c>
      <c r="C153" s="62"/>
      <c r="D153" s="79"/>
    </row>
    <row r="154" spans="1:4" ht="24.95" customHeight="1">
      <c r="A154" s="65" t="s">
        <v>68</v>
      </c>
      <c r="B154" s="62" t="s">
        <v>869</v>
      </c>
      <c r="C154" s="62"/>
      <c r="D154" s="79"/>
    </row>
    <row r="155" spans="1:4" ht="24.95" customHeight="1">
      <c r="A155" s="65" t="s">
        <v>841</v>
      </c>
      <c r="B155" s="62" t="s">
        <v>842</v>
      </c>
      <c r="C155" s="62"/>
      <c r="D155" s="79"/>
    </row>
    <row r="156" spans="1:4" ht="24.95" customHeight="1">
      <c r="A156" s="65" t="s">
        <v>768</v>
      </c>
      <c r="B156" s="62" t="s">
        <v>769</v>
      </c>
      <c r="C156" s="62"/>
      <c r="D156" s="79"/>
    </row>
    <row r="157" spans="1:4" ht="24.95" customHeight="1">
      <c r="A157" s="65" t="s">
        <v>766</v>
      </c>
      <c r="B157" s="62" t="s">
        <v>767</v>
      </c>
      <c r="C157" s="62"/>
      <c r="D157" s="79"/>
    </row>
    <row r="158" spans="1:4" ht="24.95" customHeight="1">
      <c r="A158" s="65" t="s">
        <v>770</v>
      </c>
      <c r="B158" s="62" t="s">
        <v>771</v>
      </c>
      <c r="C158" s="62"/>
      <c r="D158" s="79"/>
    </row>
    <row r="159" spans="1:4" ht="24.95" customHeight="1">
      <c r="A159" s="65" t="s">
        <v>699</v>
      </c>
      <c r="B159" s="62" t="s">
        <v>699</v>
      </c>
      <c r="C159" s="62"/>
      <c r="D159" s="79"/>
    </row>
    <row r="160" spans="1:4" ht="24.95" customHeight="1">
      <c r="A160" s="65" t="s">
        <v>700</v>
      </c>
      <c r="B160" s="62" t="s">
        <v>701</v>
      </c>
      <c r="C160" s="62"/>
      <c r="D160" s="79"/>
    </row>
    <row r="161" spans="1:4" ht="24.95" customHeight="1">
      <c r="A161" s="65" t="s">
        <v>734</v>
      </c>
      <c r="B161" s="62" t="s">
        <v>735</v>
      </c>
      <c r="C161" s="62"/>
      <c r="D161" s="79"/>
    </row>
    <row r="162" spans="1:4" ht="24.95" customHeight="1">
      <c r="A162" s="65" t="s">
        <v>732</v>
      </c>
      <c r="B162" s="62" t="s">
        <v>733</v>
      </c>
      <c r="C162" s="62"/>
      <c r="D162" s="79"/>
    </row>
    <row r="163" spans="1:4" ht="24.95" customHeight="1">
      <c r="A163" s="65" t="s">
        <v>740</v>
      </c>
      <c r="B163" s="62" t="s">
        <v>741</v>
      </c>
      <c r="C163" s="62"/>
      <c r="D163" s="79"/>
    </row>
    <row r="164" spans="1:4" ht="24.95" customHeight="1">
      <c r="A164" s="65" t="s">
        <v>738</v>
      </c>
      <c r="B164" s="62" t="s">
        <v>739</v>
      </c>
      <c r="C164" s="62"/>
      <c r="D164" s="79"/>
    </row>
    <row r="165" spans="1:4" ht="24.95" customHeight="1">
      <c r="A165" s="65" t="s">
        <v>860</v>
      </c>
      <c r="B165" s="62" t="s">
        <v>861</v>
      </c>
      <c r="C165" s="62"/>
      <c r="D165" s="79"/>
    </row>
    <row r="166" spans="1:4" ht="24.95" customHeight="1">
      <c r="A166" s="65" t="s">
        <v>736</v>
      </c>
      <c r="B166" s="62" t="s">
        <v>737</v>
      </c>
      <c r="C166" s="62"/>
      <c r="D166" s="79"/>
    </row>
    <row r="167" spans="1:4" ht="24.95" customHeight="1">
      <c r="A167" s="65" t="s">
        <v>596</v>
      </c>
      <c r="B167" s="62" t="s">
        <v>597</v>
      </c>
      <c r="C167" s="62"/>
      <c r="D167" s="79"/>
    </row>
    <row r="168" spans="1:4" ht="24.95" customHeight="1">
      <c r="A168" s="65" t="s">
        <v>788</v>
      </c>
      <c r="B168" s="62" t="s">
        <v>789</v>
      </c>
      <c r="C168" s="62"/>
      <c r="D168" s="79"/>
    </row>
    <row r="169" spans="1:4" ht="24.95" customHeight="1">
      <c r="A169" s="65" t="s">
        <v>799</v>
      </c>
      <c r="B169" s="62" t="s">
        <v>800</v>
      </c>
      <c r="C169" s="62"/>
      <c r="D169" s="79"/>
    </row>
    <row r="170" spans="1:4" ht="24.95" customHeight="1">
      <c r="A170" s="65" t="s">
        <v>815</v>
      </c>
      <c r="B170" s="62" t="s">
        <v>816</v>
      </c>
      <c r="C170" s="62"/>
      <c r="D170" s="79"/>
    </row>
    <row r="171" spans="1:4" ht="24.95" customHeight="1">
      <c r="A171" s="65" t="s">
        <v>742</v>
      </c>
      <c r="B171" s="62" t="s">
        <v>743</v>
      </c>
      <c r="C171" s="62"/>
      <c r="D171" s="79"/>
    </row>
    <row r="172" spans="1:4" ht="24.95" customHeight="1">
      <c r="A172" s="65" t="s">
        <v>803</v>
      </c>
      <c r="B172" s="62" t="s">
        <v>804</v>
      </c>
      <c r="C172" s="62"/>
      <c r="D172" s="79"/>
    </row>
    <row r="173" spans="1:4" ht="24.95" customHeight="1">
      <c r="A173" s="65" t="s">
        <v>801</v>
      </c>
      <c r="B173" s="62" t="s">
        <v>802</v>
      </c>
      <c r="C173" s="62"/>
      <c r="D173" s="79"/>
    </row>
    <row r="174" spans="1:4" ht="24.95" customHeight="1">
      <c r="A174" s="65" t="s">
        <v>805</v>
      </c>
      <c r="B174" s="62" t="s">
        <v>806</v>
      </c>
      <c r="C174" s="62"/>
      <c r="D174" s="79"/>
    </row>
    <row r="175" spans="1:4" ht="24.95" customHeight="1">
      <c r="A175" s="65" t="s">
        <v>520</v>
      </c>
      <c r="B175" s="62" t="s">
        <v>521</v>
      </c>
      <c r="C175" s="62"/>
      <c r="D175" s="79"/>
    </row>
    <row r="176" spans="1:4" ht="24.95" customHeight="1">
      <c r="A176" s="65" t="s">
        <v>839</v>
      </c>
      <c r="B176" s="62" t="s">
        <v>840</v>
      </c>
      <c r="C176" s="62"/>
      <c r="D176" s="79"/>
    </row>
    <row r="177" spans="1:4" ht="24.95" customHeight="1">
      <c r="A177" s="65" t="s">
        <v>862</v>
      </c>
      <c r="B177" s="62" t="s">
        <v>863</v>
      </c>
      <c r="C177" s="62"/>
      <c r="D177" s="79"/>
    </row>
    <row r="178" spans="1:4" ht="24.95" customHeight="1">
      <c r="A178" s="65" t="s">
        <v>447</v>
      </c>
      <c r="B178" s="62" t="s">
        <v>864</v>
      </c>
      <c r="C178" s="62"/>
      <c r="D178" s="79"/>
    </row>
    <row r="179" spans="1:4" ht="24.95" customHeight="1">
      <c r="A179" s="65" t="s">
        <v>697</v>
      </c>
      <c r="B179" s="62" t="s">
        <v>698</v>
      </c>
      <c r="C179" s="62"/>
      <c r="D179" s="79"/>
    </row>
    <row r="180" spans="1:4" ht="24.95" customHeight="1">
      <c r="A180" s="65" t="s">
        <v>667</v>
      </c>
      <c r="B180" s="62" t="s">
        <v>668</v>
      </c>
      <c r="C180" s="62"/>
      <c r="D180" s="79"/>
    </row>
    <row r="181" spans="1:4" ht="24.95" customHeight="1">
      <c r="A181" s="65" t="s">
        <v>754</v>
      </c>
      <c r="B181" s="62" t="s">
        <v>755</v>
      </c>
      <c r="C181" s="62"/>
      <c r="D181" s="79"/>
    </row>
    <row r="182" spans="1:4" ht="24.95" customHeight="1">
      <c r="A182" s="65" t="s">
        <v>756</v>
      </c>
      <c r="B182" s="62" t="s">
        <v>757</v>
      </c>
      <c r="C182" s="62"/>
      <c r="D182" s="79"/>
    </row>
    <row r="183" spans="1:4" ht="24.95" customHeight="1">
      <c r="A183" s="65" t="s">
        <v>758</v>
      </c>
      <c r="B183" s="62" t="s">
        <v>759</v>
      </c>
      <c r="C183" s="62"/>
      <c r="D183" s="79"/>
    </row>
    <row r="184" spans="1:4" ht="24.95" customHeight="1">
      <c r="A184" s="65" t="s">
        <v>782</v>
      </c>
      <c r="B184" s="62" t="s">
        <v>783</v>
      </c>
      <c r="C184" s="62"/>
      <c r="D184" s="79"/>
    </row>
    <row r="185" spans="1:4" ht="24.95" customHeight="1">
      <c r="A185" s="65" t="s">
        <v>784</v>
      </c>
      <c r="B185" s="62" t="s">
        <v>785</v>
      </c>
      <c r="C185" s="62"/>
      <c r="D185" s="79"/>
    </row>
    <row r="186" spans="1:4" ht="24.95" customHeight="1">
      <c r="A186" s="65" t="s">
        <v>525</v>
      </c>
      <c r="B186" s="62" t="s">
        <v>526</v>
      </c>
      <c r="C186" s="62"/>
      <c r="D186" s="79"/>
    </row>
    <row r="187" spans="1:4" ht="24.95" customHeight="1">
      <c r="A187" s="65" t="s">
        <v>764</v>
      </c>
      <c r="B187" s="62" t="s">
        <v>765</v>
      </c>
      <c r="C187" s="62"/>
      <c r="D187" s="79"/>
    </row>
    <row r="188" spans="1:4" ht="24.95" customHeight="1">
      <c r="A188" s="65" t="s">
        <v>607</v>
      </c>
      <c r="B188" s="62" t="s">
        <v>608</v>
      </c>
      <c r="C188" s="62"/>
      <c r="D188" s="79"/>
    </row>
    <row r="189" spans="1:4" ht="24.95" customHeight="1">
      <c r="A189" s="65" t="s">
        <v>813</v>
      </c>
      <c r="B189" s="62" t="s">
        <v>814</v>
      </c>
      <c r="C189" s="62"/>
      <c r="D189" s="79"/>
    </row>
    <row r="190" spans="1:4" ht="24.95" customHeight="1">
      <c r="A190" s="65" t="s">
        <v>809</v>
      </c>
      <c r="B190" s="62" t="s">
        <v>810</v>
      </c>
      <c r="C190" s="62"/>
      <c r="D190" s="79"/>
    </row>
    <row r="191" spans="1:4" ht="24.95" customHeight="1">
      <c r="A191" s="65" t="s">
        <v>535</v>
      </c>
      <c r="B191" s="62" t="s">
        <v>536</v>
      </c>
      <c r="C191" s="62"/>
      <c r="D191" s="79"/>
    </row>
    <row r="192" spans="1:4" ht="24.95" customHeight="1">
      <c r="A192" s="65" t="s">
        <v>537</v>
      </c>
      <c r="B192" s="62" t="s">
        <v>538</v>
      </c>
      <c r="C192" s="62"/>
      <c r="D192" s="79"/>
    </row>
    <row r="193" spans="1:4" ht="24.95" customHeight="1">
      <c r="A193" s="65" t="s">
        <v>539</v>
      </c>
      <c r="B193" s="62" t="s">
        <v>540</v>
      </c>
      <c r="C193" s="62"/>
      <c r="D193" s="79"/>
    </row>
    <row r="194" spans="1:4" ht="24.95" customHeight="1">
      <c r="A194" s="65" t="s">
        <v>716</v>
      </c>
      <c r="B194" s="62" t="s">
        <v>717</v>
      </c>
      <c r="C194" s="62"/>
      <c r="D194" s="79"/>
    </row>
    <row r="195" spans="1:4" ht="24.95" customHeight="1">
      <c r="A195" s="65" t="s">
        <v>681</v>
      </c>
      <c r="B195" s="62" t="s">
        <v>682</v>
      </c>
      <c r="C195" s="62"/>
      <c r="D195" s="79"/>
    </row>
    <row r="196" spans="1:4" ht="24.95" customHeight="1">
      <c r="A196" s="65" t="s">
        <v>594</v>
      </c>
      <c r="B196" s="62" t="s">
        <v>595</v>
      </c>
      <c r="C196" s="62"/>
      <c r="D196" s="79"/>
    </row>
    <row r="197" spans="1:4" ht="24.95" customHeight="1">
      <c r="A197" s="65" t="s">
        <v>687</v>
      </c>
      <c r="B197" s="62" t="s">
        <v>688</v>
      </c>
      <c r="C197" s="62"/>
      <c r="D197" s="79"/>
    </row>
    <row r="198" spans="1:4" ht="24.95" customHeight="1">
      <c r="A198" s="65" t="s">
        <v>592</v>
      </c>
      <c r="B198" s="62" t="s">
        <v>593</v>
      </c>
      <c r="C198" s="62"/>
      <c r="D198" s="79"/>
    </row>
    <row r="199" spans="1:4" ht="24.95" customHeight="1">
      <c r="A199" s="65" t="s">
        <v>551</v>
      </c>
      <c r="B199" s="62" t="s">
        <v>552</v>
      </c>
      <c r="C199" s="62"/>
      <c r="D199" s="79"/>
    </row>
    <row r="200" spans="1:4" ht="24.95" customHeight="1">
      <c r="A200" s="65" t="s">
        <v>553</v>
      </c>
      <c r="B200" s="62" t="s">
        <v>554</v>
      </c>
      <c r="C200" s="62"/>
      <c r="D200" s="79"/>
    </row>
    <row r="201" spans="1:4" ht="24.95" customHeight="1">
      <c r="A201" s="65" t="s">
        <v>616</v>
      </c>
      <c r="B201" s="62" t="s">
        <v>617</v>
      </c>
      <c r="C201" s="62"/>
      <c r="D201" s="79"/>
    </row>
    <row r="202" spans="1:4" ht="24.95" customHeight="1">
      <c r="A202" s="65" t="s">
        <v>706</v>
      </c>
      <c r="B202" s="62" t="s">
        <v>707</v>
      </c>
      <c r="C202" s="62"/>
      <c r="D202" s="79"/>
    </row>
    <row r="203" spans="1:4" ht="24.95" customHeight="1">
      <c r="A203" s="87" t="s">
        <v>704</v>
      </c>
      <c r="B203" s="88" t="s">
        <v>705</v>
      </c>
      <c r="C203" s="88"/>
      <c r="D203" s="89"/>
    </row>
    <row r="204" spans="1:4" ht="24.95" customHeight="1">
      <c r="A204" s="35"/>
      <c r="B204" s="35"/>
      <c r="C204" s="34"/>
    </row>
    <row r="205" spans="1:4" ht="24.95" customHeight="1">
      <c r="A205" s="35"/>
      <c r="B205" s="35"/>
      <c r="C205" s="34"/>
    </row>
    <row r="206" spans="1:4" ht="24.95" customHeight="1">
      <c r="A206" s="35"/>
      <c r="B206" s="35"/>
      <c r="C206" s="34"/>
    </row>
    <row r="207" spans="1:4" ht="24.95" customHeight="1">
      <c r="A207" s="35"/>
      <c r="B207" s="35"/>
      <c r="C207" s="34"/>
    </row>
    <row r="208" spans="1:4" ht="24.95" customHeight="1">
      <c r="A208" s="35"/>
      <c r="B208" s="35"/>
      <c r="C208" s="34"/>
    </row>
    <row r="209" spans="1:3" ht="24.95" customHeight="1">
      <c r="A209" s="35"/>
      <c r="B209" s="35"/>
      <c r="C209" s="34"/>
    </row>
    <row r="210" spans="1:3" ht="24.95" customHeight="1">
      <c r="A210" s="35"/>
      <c r="B210" s="35"/>
      <c r="C210" s="34"/>
    </row>
    <row r="211" spans="1:3" ht="24.95" customHeight="1">
      <c r="A211" s="35"/>
      <c r="B211" s="35"/>
      <c r="C211" s="34"/>
    </row>
    <row r="212" spans="1:3" ht="24.95" customHeight="1">
      <c r="A212" s="35"/>
      <c r="B212" s="35"/>
      <c r="C212" s="34"/>
    </row>
    <row r="213" spans="1:3" ht="24.95" customHeight="1">
      <c r="A213" s="35"/>
      <c r="B213" s="35"/>
      <c r="C213" s="34"/>
    </row>
    <row r="214" spans="1:3" ht="24.95" customHeight="1">
      <c r="A214" s="35"/>
      <c r="B214" s="35"/>
      <c r="C214" s="34"/>
    </row>
  </sheetData>
  <sheetProtection sheet="1" objects="1" scenarios="1" selectLockedCells="1"/>
  <mergeCells count="1">
    <mergeCell ref="A1:C1"/>
  </mergeCells>
  <phoneticPr fontId="7" type="noConversion"/>
  <pageMargins left="0.78740157499999996" right="0.78740157499999996" top="0.984251969" bottom="0.984251969" header="0.5" footer="0.5"/>
  <pageSetup paperSize="9" orientation="portrait" horizontalDpi="4294967292" verticalDpi="4294967292" r:id="rId1"/>
  <headerFooter alignWithMargins="0">
    <oddHeader>&amp;RS. &amp;P/ &amp;N&amp;CForschungszentrum Jülich GmbH
 Messstellenkonfiguration&amp;LIBG-3_TERENO_FB 7-204</oddHeader>
    <oddFooter>&amp;RRevision: 2&amp;CGültig seit: 2013-09-25
gedruckt am: 2016-02-04&amp;LErstellt: Thomas Muckenheim
Geprüft: Thomas Muckenheim
Freigabe: Dr. Ralf Kunkel</odd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9</vt:i4>
      </vt:variant>
      <vt:variant>
        <vt:lpstr>Benannte Bereiche</vt:lpstr>
      </vt:variant>
      <vt:variant>
        <vt:i4>1</vt:i4>
      </vt:variant>
    </vt:vector>
  </HeadingPairs>
  <TitlesOfParts>
    <vt:vector size="10" baseType="lpstr">
      <vt:lpstr>Startseite</vt:lpstr>
      <vt:lpstr>Messstelleninformationen</vt:lpstr>
      <vt:lpstr>Messstellenkonfiguration</vt:lpstr>
      <vt:lpstr>Loggerdatei</vt:lpstr>
      <vt:lpstr>Sensoren</vt:lpstr>
      <vt:lpstr>Messwerttyp</vt:lpstr>
      <vt:lpstr>physikalische Eigenschaft</vt:lpstr>
      <vt:lpstr>Medium</vt:lpstr>
      <vt:lpstr>Einheit</vt:lpstr>
      <vt:lpstr>Messstelleninformationen!Druckbereich</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kunkel</dc:creator>
  <cp:lastModifiedBy>Jahn, Carsten</cp:lastModifiedBy>
  <cp:lastPrinted>2013-07-12T09:06:45Z</cp:lastPrinted>
  <dcterms:created xsi:type="dcterms:W3CDTF">2012-08-08T09:17:11Z</dcterms:created>
  <dcterms:modified xsi:type="dcterms:W3CDTF">2016-07-27T11:35:06Z</dcterms:modified>
</cp:coreProperties>
</file>